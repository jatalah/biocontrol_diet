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wthron99.sharepoint.com/sites/BiosecurityToolboxEndeavourprogramme/Shared Documents/General/RA2 - PROTECT/RA1.2.1 Antifouling/2020_21/Biocontrol/Biocontrol diet and sustenance/data_analyses/data/"/>
    </mc:Choice>
  </mc:AlternateContent>
  <xr:revisionPtr revIDLastSave="4" documentId="8_{D45C561C-5873-4982-AD06-B90EC27F2DBF}" xr6:coauthVersionLast="47" xr6:coauthVersionMax="47" xr10:uidLastSave="{E53FAFC6-23D8-4087-AC07-27B3BB0EF154}"/>
  <bookViews>
    <workbookView xWindow="-28920" yWindow="-120" windowWidth="29040" windowHeight="15840" xr2:uid="{CE011483-9557-498C-926C-62C089376A7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2" i="1"/>
</calcChain>
</file>

<file path=xl/sharedStrings.xml><?xml version="1.0" encoding="utf-8"?>
<sst xmlns="http://schemas.openxmlformats.org/spreadsheetml/2006/main" count="309" uniqueCount="32">
  <si>
    <t>Season</t>
  </si>
  <si>
    <t>Round</t>
  </si>
  <si>
    <t>Sampling event</t>
  </si>
  <si>
    <t>Berth</t>
  </si>
  <si>
    <t>Replicate</t>
  </si>
  <si>
    <t>Unique ID #</t>
  </si>
  <si>
    <t>Tube size</t>
  </si>
  <si>
    <t>Weight with lid on (g)</t>
  </si>
  <si>
    <t>Sample + tube</t>
  </si>
  <si>
    <t>Sample +  tube dry</t>
  </si>
  <si>
    <t>tube weight</t>
  </si>
  <si>
    <t>Wet weigt</t>
  </si>
  <si>
    <t>dry weight</t>
  </si>
  <si>
    <t>moisture</t>
  </si>
  <si>
    <t>% moisture</t>
  </si>
  <si>
    <t>Nitrogen</t>
  </si>
  <si>
    <t>Protein g/100g</t>
  </si>
  <si>
    <t>Summer</t>
  </si>
  <si>
    <t>C</t>
  </si>
  <si>
    <t>A</t>
  </si>
  <si>
    <t>15 ml</t>
  </si>
  <si>
    <t>B</t>
  </si>
  <si>
    <t>G</t>
  </si>
  <si>
    <t>A-1</t>
  </si>
  <si>
    <t>B-1</t>
  </si>
  <si>
    <t>C-1</t>
  </si>
  <si>
    <t>F</t>
  </si>
  <si>
    <t>50 ml</t>
  </si>
  <si>
    <t>Winter</t>
  </si>
  <si>
    <t>&lt; 0.4</t>
  </si>
  <si>
    <t>NA</t>
  </si>
  <si>
    <t>&lt;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</si>
</sst>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A763B-5BBE-4F0A-A197-07592D763DB3}">
  <dimension ref="A1:S74"/>
  <sheetViews>
    <sheetView tabSelected="1" workbookViewId="0">
      <selection activeCell="F74" sqref="F74"/>
    </sheetView>
  </sheetViews>
  <sheetFormatPr defaultRowHeight="15" x14ac:dyDescent="0.25"/>
  <cols>
    <col min="3" max="3" width="10.140625" bestFit="1" customWidth="1"/>
  </cols>
  <sheetData>
    <row r="1" spans="1:19" ht="4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/>
    </row>
    <row r="2" spans="1:19" x14ac:dyDescent="0.25">
      <c r="A2" s="5" t="s">
        <v>17</v>
      </c>
      <c r="B2" s="6">
        <v>1</v>
      </c>
      <c r="C2" s="7">
        <v>44552</v>
      </c>
      <c r="D2" s="6" t="s">
        <v>18</v>
      </c>
      <c r="E2" s="6" t="s">
        <v>19</v>
      </c>
      <c r="F2" s="8">
        <v>1</v>
      </c>
      <c r="G2" s="6" t="s">
        <v>20</v>
      </c>
      <c r="H2" s="6">
        <v>6.7</v>
      </c>
      <c r="I2" s="5">
        <v>13.368499999999999</v>
      </c>
      <c r="J2" s="6">
        <v>8.1130999999999993</v>
      </c>
      <c r="K2" s="6">
        <v>7.3601000000000001</v>
      </c>
      <c r="L2" s="5">
        <v>6.0084</v>
      </c>
      <c r="M2" s="5">
        <v>0.753</v>
      </c>
      <c r="N2" s="5">
        <v>5.2553999999999998</v>
      </c>
      <c r="O2" s="9">
        <v>87.5</v>
      </c>
      <c r="P2" s="5">
        <v>0.8</v>
      </c>
      <c r="Q2" s="5">
        <v>5</v>
      </c>
      <c r="R2" s="5"/>
      <c r="S2" t="str">
        <f>CONCATENATE(A2,"_",B2,"_",D2,"_",E2)</f>
        <v>Summer_1_C_A</v>
      </c>
    </row>
    <row r="3" spans="1:19" x14ac:dyDescent="0.25">
      <c r="A3" s="5" t="s">
        <v>17</v>
      </c>
      <c r="B3" s="6">
        <v>1</v>
      </c>
      <c r="C3" s="7">
        <v>44552</v>
      </c>
      <c r="D3" s="6" t="s">
        <v>18</v>
      </c>
      <c r="E3" s="6" t="s">
        <v>21</v>
      </c>
      <c r="F3" s="8">
        <v>2</v>
      </c>
      <c r="G3" s="6" t="s">
        <v>20</v>
      </c>
      <c r="H3" s="6">
        <v>6.7</v>
      </c>
      <c r="I3" s="5">
        <v>11.8835</v>
      </c>
      <c r="J3" s="6">
        <v>8.3085000000000004</v>
      </c>
      <c r="K3" s="6">
        <v>7.3655999999999997</v>
      </c>
      <c r="L3" s="5">
        <v>4.5179</v>
      </c>
      <c r="M3" s="5">
        <v>0.94289999999999996</v>
      </c>
      <c r="N3" s="5">
        <v>3.5750000000000002</v>
      </c>
      <c r="O3" s="9">
        <v>79.099999999999994</v>
      </c>
      <c r="P3" s="5">
        <v>0.62</v>
      </c>
      <c r="Q3" s="5">
        <v>3.9</v>
      </c>
      <c r="R3" s="5"/>
      <c r="S3" t="str">
        <f t="shared" ref="S3:S66" si="0">CONCATENATE(A3,"_",B3,"_",D3,"_",E3)</f>
        <v>Summer_1_C_B</v>
      </c>
    </row>
    <row r="4" spans="1:19" x14ac:dyDescent="0.25">
      <c r="A4" s="5" t="s">
        <v>17</v>
      </c>
      <c r="B4" s="6">
        <v>1</v>
      </c>
      <c r="C4" s="7">
        <v>44552</v>
      </c>
      <c r="D4" s="6" t="s">
        <v>18</v>
      </c>
      <c r="E4" s="6" t="s">
        <v>18</v>
      </c>
      <c r="F4" s="8">
        <v>3</v>
      </c>
      <c r="G4" s="6" t="s">
        <v>20</v>
      </c>
      <c r="H4" s="6">
        <v>6.7</v>
      </c>
      <c r="I4" s="5">
        <v>13.4681</v>
      </c>
      <c r="J4" s="6">
        <v>8.5109999999999992</v>
      </c>
      <c r="K4" s="6">
        <v>7.4048999999999996</v>
      </c>
      <c r="L4" s="5">
        <v>6.0632000000000001</v>
      </c>
      <c r="M4" s="5">
        <v>1.1061000000000001</v>
      </c>
      <c r="N4" s="5">
        <v>4.9570999999999996</v>
      </c>
      <c r="O4" s="9">
        <v>81.8</v>
      </c>
      <c r="P4" s="5">
        <v>1.1399999999999999</v>
      </c>
      <c r="Q4" s="5">
        <v>7.1</v>
      </c>
      <c r="R4" s="5"/>
      <c r="S4" t="str">
        <f t="shared" si="0"/>
        <v>Summer_1_C_C</v>
      </c>
    </row>
    <row r="5" spans="1:19" x14ac:dyDescent="0.25">
      <c r="A5" s="5" t="s">
        <v>17</v>
      </c>
      <c r="B5" s="6">
        <v>1</v>
      </c>
      <c r="C5" s="7">
        <v>44552</v>
      </c>
      <c r="D5" s="6" t="s">
        <v>22</v>
      </c>
      <c r="E5" s="6" t="s">
        <v>19</v>
      </c>
      <c r="F5" s="8">
        <v>4</v>
      </c>
      <c r="G5" s="6" t="s">
        <v>20</v>
      </c>
      <c r="H5" s="6"/>
      <c r="I5" s="5">
        <v>21.350200000000001</v>
      </c>
      <c r="J5" s="6">
        <v>8.4255999999999993</v>
      </c>
      <c r="K5" s="6">
        <v>7.3573000000000004</v>
      </c>
      <c r="L5" s="5">
        <v>13.992900000000001</v>
      </c>
      <c r="M5" s="5">
        <v>1.0683</v>
      </c>
      <c r="N5" s="5">
        <v>12.9246</v>
      </c>
      <c r="O5" s="9">
        <v>92.4</v>
      </c>
      <c r="P5" s="5">
        <v>0.75</v>
      </c>
      <c r="Q5" s="5">
        <v>4.7</v>
      </c>
      <c r="R5" s="5"/>
      <c r="S5" t="str">
        <f t="shared" si="0"/>
        <v>Summer_1_G_A</v>
      </c>
    </row>
    <row r="6" spans="1:19" x14ac:dyDescent="0.25">
      <c r="A6" s="5" t="s">
        <v>17</v>
      </c>
      <c r="B6" s="6">
        <v>1</v>
      </c>
      <c r="C6" s="7">
        <v>44552</v>
      </c>
      <c r="D6" s="6" t="s">
        <v>22</v>
      </c>
      <c r="E6" s="6" t="s">
        <v>21</v>
      </c>
      <c r="F6" s="8">
        <v>5</v>
      </c>
      <c r="G6" s="6" t="s">
        <v>20</v>
      </c>
      <c r="H6" s="6">
        <v>6.7</v>
      </c>
      <c r="I6" s="5">
        <v>18.629100000000001</v>
      </c>
      <c r="J6" s="6">
        <v>8.3158999999999992</v>
      </c>
      <c r="K6" s="6">
        <v>7.3524000000000003</v>
      </c>
      <c r="L6" s="5">
        <v>11.2767</v>
      </c>
      <c r="M6" s="5">
        <v>0.96350000000000002</v>
      </c>
      <c r="N6" s="5">
        <v>10.3132</v>
      </c>
      <c r="O6" s="9">
        <v>91.5</v>
      </c>
      <c r="P6" s="5">
        <v>1.04</v>
      </c>
      <c r="Q6" s="5">
        <v>6.5</v>
      </c>
      <c r="R6" s="5"/>
      <c r="S6" t="str">
        <f t="shared" si="0"/>
        <v>Summer_1_G_B</v>
      </c>
    </row>
    <row r="7" spans="1:19" x14ac:dyDescent="0.25">
      <c r="A7" s="5" t="s">
        <v>17</v>
      </c>
      <c r="B7" s="6">
        <v>1</v>
      </c>
      <c r="C7" s="7">
        <v>44552</v>
      </c>
      <c r="D7" s="6" t="s">
        <v>22</v>
      </c>
      <c r="E7" s="6" t="s">
        <v>18</v>
      </c>
      <c r="F7" s="8">
        <v>6</v>
      </c>
      <c r="G7" s="6" t="s">
        <v>20</v>
      </c>
      <c r="H7" s="6">
        <v>6.7</v>
      </c>
      <c r="I7" s="5">
        <v>22.622599999999998</v>
      </c>
      <c r="J7" s="6">
        <v>8.1411999999999995</v>
      </c>
      <c r="K7" s="6">
        <v>7.4124999999999996</v>
      </c>
      <c r="L7" s="5">
        <v>15.210100000000001</v>
      </c>
      <c r="M7" s="5">
        <v>0.72870000000000001</v>
      </c>
      <c r="N7" s="5">
        <v>14.481400000000001</v>
      </c>
      <c r="O7" s="9">
        <v>95.2</v>
      </c>
      <c r="P7" s="5">
        <v>0.83</v>
      </c>
      <c r="Q7" s="5">
        <v>5.2</v>
      </c>
      <c r="R7" s="5"/>
      <c r="S7" t="str">
        <f t="shared" si="0"/>
        <v>Summer_1_G_C</v>
      </c>
    </row>
    <row r="8" spans="1:19" x14ac:dyDescent="0.25">
      <c r="A8" s="5" t="s">
        <v>17</v>
      </c>
      <c r="B8" s="6">
        <v>1</v>
      </c>
      <c r="C8" s="7">
        <v>44571</v>
      </c>
      <c r="D8" s="6" t="s">
        <v>18</v>
      </c>
      <c r="E8" s="6" t="s">
        <v>23</v>
      </c>
      <c r="F8" s="8">
        <v>7</v>
      </c>
      <c r="G8" s="6" t="s">
        <v>20</v>
      </c>
      <c r="H8" s="6">
        <v>6.8</v>
      </c>
      <c r="I8" s="5">
        <v>22.798999999999999</v>
      </c>
      <c r="J8" s="6">
        <v>8.7710000000000008</v>
      </c>
      <c r="K8" s="6">
        <v>7.4211999999999998</v>
      </c>
      <c r="L8" s="5">
        <v>27.688500000000001</v>
      </c>
      <c r="M8" s="5">
        <v>2.4750000000000001</v>
      </c>
      <c r="N8" s="5">
        <v>25.2135</v>
      </c>
      <c r="O8" s="9">
        <v>91</v>
      </c>
      <c r="P8" s="5">
        <v>1.94</v>
      </c>
      <c r="Q8" s="5">
        <v>12.1</v>
      </c>
      <c r="R8" s="5"/>
      <c r="S8" t="str">
        <f t="shared" si="0"/>
        <v>Summer_1_C_A-1</v>
      </c>
    </row>
    <row r="9" spans="1:19" x14ac:dyDescent="0.25">
      <c r="A9" s="5" t="s">
        <v>17</v>
      </c>
      <c r="B9" s="6">
        <v>1</v>
      </c>
      <c r="C9" s="7">
        <v>44571</v>
      </c>
      <c r="D9" s="6" t="s">
        <v>18</v>
      </c>
      <c r="E9" s="6" t="s">
        <v>24</v>
      </c>
      <c r="F9" s="8">
        <v>9</v>
      </c>
      <c r="G9" s="6" t="s">
        <v>20</v>
      </c>
      <c r="H9" s="6">
        <v>6.8</v>
      </c>
      <c r="I9" s="5">
        <v>20.305299999999999</v>
      </c>
      <c r="J9" s="6">
        <v>9.2302</v>
      </c>
      <c r="K9" s="6">
        <v>7.4063999999999997</v>
      </c>
      <c r="L9" s="5">
        <v>19.721399999999999</v>
      </c>
      <c r="M9" s="5">
        <v>2.7069000000000001</v>
      </c>
      <c r="N9" s="5">
        <v>17.014500000000002</v>
      </c>
      <c r="O9" s="9">
        <v>86.5</v>
      </c>
      <c r="P9" s="5">
        <v>1.06</v>
      </c>
      <c r="Q9" s="5">
        <v>6.6</v>
      </c>
      <c r="R9" s="5"/>
      <c r="S9" t="str">
        <f t="shared" si="0"/>
        <v>Summer_1_C_B-1</v>
      </c>
    </row>
    <row r="10" spans="1:19" x14ac:dyDescent="0.25">
      <c r="A10" s="5" t="s">
        <v>17</v>
      </c>
      <c r="B10" s="6">
        <v>1</v>
      </c>
      <c r="C10" s="7">
        <v>44571</v>
      </c>
      <c r="D10" s="6" t="s">
        <v>18</v>
      </c>
      <c r="E10" s="6" t="s">
        <v>25</v>
      </c>
      <c r="F10" s="8">
        <v>11</v>
      </c>
      <c r="G10" s="6" t="s">
        <v>20</v>
      </c>
      <c r="H10" s="6">
        <v>6.8</v>
      </c>
      <c r="I10" s="5">
        <v>20.343</v>
      </c>
      <c r="J10" s="6">
        <v>9.7515000000000001</v>
      </c>
      <c r="K10" s="6">
        <v>7.3940999999999999</v>
      </c>
      <c r="L10" s="5">
        <v>17.149799999999999</v>
      </c>
      <c r="M10" s="5">
        <v>3.1814</v>
      </c>
      <c r="N10" s="5">
        <v>13.968400000000001</v>
      </c>
      <c r="O10" s="9">
        <v>81.099999999999994</v>
      </c>
      <c r="P10" s="5">
        <v>1.1499999999999999</v>
      </c>
      <c r="Q10" s="5">
        <v>7.2</v>
      </c>
      <c r="R10" s="5"/>
      <c r="S10" t="str">
        <f t="shared" si="0"/>
        <v>Summer_1_C_C-1</v>
      </c>
    </row>
    <row r="11" spans="1:19" x14ac:dyDescent="0.25">
      <c r="A11" s="5" t="s">
        <v>17</v>
      </c>
      <c r="B11" s="6">
        <v>1</v>
      </c>
      <c r="C11" s="7">
        <v>44571</v>
      </c>
      <c r="D11" s="6" t="s">
        <v>22</v>
      </c>
      <c r="E11" s="6" t="s">
        <v>23</v>
      </c>
      <c r="F11" s="8">
        <v>13</v>
      </c>
      <c r="G11" s="6" t="s">
        <v>20</v>
      </c>
      <c r="H11" s="6">
        <v>6.8</v>
      </c>
      <c r="I11" s="5">
        <v>22.39</v>
      </c>
      <c r="J11" s="6">
        <v>9.1371000000000002</v>
      </c>
      <c r="K11" s="6">
        <v>7.4123999999999999</v>
      </c>
      <c r="L11" s="5">
        <v>40.8474</v>
      </c>
      <c r="M11" s="5">
        <v>4.3689</v>
      </c>
      <c r="N11" s="5">
        <v>36.478499999999997</v>
      </c>
      <c r="O11" s="9">
        <v>89.3</v>
      </c>
      <c r="P11" s="5">
        <v>1.9</v>
      </c>
      <c r="Q11" s="5">
        <v>11.9</v>
      </c>
      <c r="R11" s="5"/>
      <c r="S11" t="str">
        <f t="shared" si="0"/>
        <v>Summer_1_G_A-1</v>
      </c>
    </row>
    <row r="12" spans="1:19" x14ac:dyDescent="0.25">
      <c r="A12" s="5" t="s">
        <v>17</v>
      </c>
      <c r="B12" s="6">
        <v>1</v>
      </c>
      <c r="C12" s="7">
        <v>44571</v>
      </c>
      <c r="D12" s="6" t="s">
        <v>22</v>
      </c>
      <c r="E12" s="6" t="s">
        <v>24</v>
      </c>
      <c r="F12" s="8">
        <v>16</v>
      </c>
      <c r="G12" s="6" t="s">
        <v>20</v>
      </c>
      <c r="H12" s="6">
        <v>6.8</v>
      </c>
      <c r="I12" s="5">
        <v>22.296700000000001</v>
      </c>
      <c r="J12" s="6">
        <v>9.5168999999999997</v>
      </c>
      <c r="K12" s="6">
        <v>7.4173</v>
      </c>
      <c r="L12" s="5">
        <v>24.9392</v>
      </c>
      <c r="M12" s="5">
        <v>3.4359000000000002</v>
      </c>
      <c r="N12" s="5">
        <v>21.503299999999999</v>
      </c>
      <c r="O12" s="9">
        <v>86.3</v>
      </c>
      <c r="P12" s="5">
        <v>0.82</v>
      </c>
      <c r="Q12" s="5">
        <v>5.0999999999999996</v>
      </c>
      <c r="R12" s="5"/>
      <c r="S12" t="str">
        <f t="shared" si="0"/>
        <v>Summer_1_G_B-1</v>
      </c>
    </row>
    <row r="13" spans="1:19" x14ac:dyDescent="0.25">
      <c r="A13" s="5" t="s">
        <v>17</v>
      </c>
      <c r="B13" s="6">
        <v>1</v>
      </c>
      <c r="C13" s="7">
        <v>44571</v>
      </c>
      <c r="D13" s="6" t="s">
        <v>22</v>
      </c>
      <c r="E13" s="6" t="s">
        <v>25</v>
      </c>
      <c r="F13" s="8">
        <v>18</v>
      </c>
      <c r="G13" s="6" t="s">
        <v>20</v>
      </c>
      <c r="H13" s="6">
        <v>6.8</v>
      </c>
      <c r="I13" s="5">
        <v>21.883800000000001</v>
      </c>
      <c r="J13" s="5">
        <v>10.3134</v>
      </c>
      <c r="K13" s="6">
        <v>7.4367000000000001</v>
      </c>
      <c r="L13" s="5">
        <v>22.023800000000001</v>
      </c>
      <c r="M13" s="5">
        <v>4.3205</v>
      </c>
      <c r="N13" s="5">
        <v>17.703299999999999</v>
      </c>
      <c r="O13" s="9">
        <v>80.5</v>
      </c>
      <c r="P13" s="5">
        <v>2.15</v>
      </c>
      <c r="Q13" s="5">
        <v>13.4</v>
      </c>
      <c r="R13" s="5"/>
      <c r="S13" t="str">
        <f t="shared" si="0"/>
        <v>Summer_1_G_C-1</v>
      </c>
    </row>
    <row r="14" spans="1:19" x14ac:dyDescent="0.25">
      <c r="A14" s="5" t="s">
        <v>17</v>
      </c>
      <c r="B14" s="6">
        <v>1</v>
      </c>
      <c r="C14" s="7">
        <v>44593</v>
      </c>
      <c r="D14" s="6" t="s">
        <v>26</v>
      </c>
      <c r="E14" s="6" t="s">
        <v>23</v>
      </c>
      <c r="F14" s="8">
        <v>20</v>
      </c>
      <c r="G14" s="6" t="s">
        <v>27</v>
      </c>
      <c r="H14" s="6">
        <v>13</v>
      </c>
      <c r="I14" s="5">
        <v>26.636500000000002</v>
      </c>
      <c r="J14" s="6">
        <v>15.2767</v>
      </c>
      <c r="K14" s="6">
        <v>13.9397</v>
      </c>
      <c r="L14" s="5">
        <v>76.115399999999994</v>
      </c>
      <c r="M14" s="5">
        <v>8.5595999999999997</v>
      </c>
      <c r="N14" s="5">
        <v>67.555800000000005</v>
      </c>
      <c r="O14" s="9">
        <v>89.1</v>
      </c>
      <c r="P14" s="5">
        <v>1.58</v>
      </c>
      <c r="Q14" s="5">
        <v>9.9</v>
      </c>
      <c r="R14" s="5"/>
      <c r="S14" t="str">
        <f t="shared" si="0"/>
        <v>Summer_1_F_A-1</v>
      </c>
    </row>
    <row r="15" spans="1:19" x14ac:dyDescent="0.25">
      <c r="A15" s="5" t="s">
        <v>17</v>
      </c>
      <c r="B15" s="6">
        <v>1</v>
      </c>
      <c r="C15" s="7">
        <v>44593</v>
      </c>
      <c r="D15" s="6" t="s">
        <v>26</v>
      </c>
      <c r="E15" s="6" t="s">
        <v>24</v>
      </c>
      <c r="F15" s="8">
        <v>23</v>
      </c>
      <c r="G15" s="6" t="s">
        <v>27</v>
      </c>
      <c r="H15" s="6">
        <v>12.7</v>
      </c>
      <c r="I15" s="5">
        <v>63.088200000000001</v>
      </c>
      <c r="J15" s="6">
        <v>19.638500000000001</v>
      </c>
      <c r="K15" s="6">
        <v>13.644500000000001</v>
      </c>
      <c r="L15" s="5">
        <v>121.9032</v>
      </c>
      <c r="M15" s="5">
        <v>15.005100000000001</v>
      </c>
      <c r="N15" s="5">
        <v>106.8981</v>
      </c>
      <c r="O15" s="9">
        <v>87.8</v>
      </c>
      <c r="P15" s="5">
        <v>2.33</v>
      </c>
      <c r="Q15" s="5">
        <v>14.6</v>
      </c>
      <c r="R15" s="5"/>
      <c r="S15" t="str">
        <f t="shared" si="0"/>
        <v>Summer_1_F_B-1</v>
      </c>
    </row>
    <row r="16" spans="1:19" x14ac:dyDescent="0.25">
      <c r="A16" s="5" t="s">
        <v>17</v>
      </c>
      <c r="B16" s="6">
        <v>1</v>
      </c>
      <c r="C16" s="7">
        <v>44593</v>
      </c>
      <c r="D16" s="6" t="s">
        <v>26</v>
      </c>
      <c r="E16" s="6" t="s">
        <v>25</v>
      </c>
      <c r="F16" s="8">
        <v>26</v>
      </c>
      <c r="G16" s="6" t="s">
        <v>27</v>
      </c>
      <c r="H16" s="6">
        <v>12.9</v>
      </c>
      <c r="I16" s="5">
        <v>66.887299999999996</v>
      </c>
      <c r="J16" s="6">
        <v>19.855399999999999</v>
      </c>
      <c r="K16" s="6">
        <v>13.8161</v>
      </c>
      <c r="L16" s="5">
        <v>147.89080000000001</v>
      </c>
      <c r="M16" s="5">
        <v>16.160900000000002</v>
      </c>
      <c r="N16" s="5">
        <v>131.72989999999999</v>
      </c>
      <c r="O16" s="9">
        <v>89.1</v>
      </c>
      <c r="P16" s="5">
        <v>1.85</v>
      </c>
      <c r="Q16" s="5">
        <v>11.6</v>
      </c>
      <c r="R16" s="5"/>
      <c r="S16" t="str">
        <f t="shared" si="0"/>
        <v>Summer_1_F_C-1</v>
      </c>
    </row>
    <row r="17" spans="1:19" x14ac:dyDescent="0.25">
      <c r="A17" s="5" t="s">
        <v>17</v>
      </c>
      <c r="B17" s="6">
        <v>1</v>
      </c>
      <c r="C17" s="7">
        <v>44593</v>
      </c>
      <c r="D17" s="6" t="s">
        <v>22</v>
      </c>
      <c r="E17" s="6" t="s">
        <v>23</v>
      </c>
      <c r="F17" s="8">
        <v>29</v>
      </c>
      <c r="G17" s="6" t="s">
        <v>27</v>
      </c>
      <c r="H17" s="6">
        <v>12.9</v>
      </c>
      <c r="I17" s="5">
        <v>63.651899999999998</v>
      </c>
      <c r="J17" s="6">
        <v>17.194700000000001</v>
      </c>
      <c r="K17" s="6">
        <v>14.2347</v>
      </c>
      <c r="L17" s="5">
        <v>219.3441</v>
      </c>
      <c r="M17" s="5">
        <v>16.7896</v>
      </c>
      <c r="N17" s="5">
        <v>202.55449999999999</v>
      </c>
      <c r="O17" s="9">
        <v>92.2</v>
      </c>
      <c r="P17" s="5">
        <v>2.66</v>
      </c>
      <c r="Q17" s="5">
        <v>16.600000000000001</v>
      </c>
      <c r="R17" s="5"/>
      <c r="S17" t="str">
        <f t="shared" si="0"/>
        <v>Summer_1_G_A-1</v>
      </c>
    </row>
    <row r="18" spans="1:19" x14ac:dyDescent="0.25">
      <c r="A18" s="5" t="s">
        <v>17</v>
      </c>
      <c r="B18" s="6">
        <v>1</v>
      </c>
      <c r="C18" s="7">
        <v>44593</v>
      </c>
      <c r="D18" s="6" t="s">
        <v>22</v>
      </c>
      <c r="E18" s="6" t="s">
        <v>24</v>
      </c>
      <c r="F18" s="8">
        <v>34</v>
      </c>
      <c r="G18" s="6" t="s">
        <v>27</v>
      </c>
      <c r="H18" s="6">
        <v>12.7</v>
      </c>
      <c r="I18" s="5">
        <v>65.765799999999999</v>
      </c>
      <c r="J18" s="6">
        <v>18.696999999999999</v>
      </c>
      <c r="K18" s="6">
        <v>13.734299999999999</v>
      </c>
      <c r="L18" s="5">
        <v>191.6764</v>
      </c>
      <c r="M18" s="5">
        <v>20.6266</v>
      </c>
      <c r="N18" s="5">
        <v>171.0498</v>
      </c>
      <c r="O18" s="9">
        <v>89.2</v>
      </c>
      <c r="P18" s="5">
        <v>3.23</v>
      </c>
      <c r="Q18" s="5">
        <v>20.2</v>
      </c>
      <c r="R18" s="5"/>
      <c r="S18" t="str">
        <f t="shared" si="0"/>
        <v>Summer_1_G_B-1</v>
      </c>
    </row>
    <row r="19" spans="1:19" x14ac:dyDescent="0.25">
      <c r="A19" s="5" t="s">
        <v>17</v>
      </c>
      <c r="B19" s="6">
        <v>1</v>
      </c>
      <c r="C19" s="7">
        <v>44593</v>
      </c>
      <c r="D19" s="6" t="s">
        <v>22</v>
      </c>
      <c r="E19" s="6" t="s">
        <v>25</v>
      </c>
      <c r="F19" s="8">
        <v>38</v>
      </c>
      <c r="G19" s="6" t="s">
        <v>27</v>
      </c>
      <c r="H19" s="6">
        <v>13</v>
      </c>
      <c r="I19" s="5">
        <v>63.713000000000001</v>
      </c>
      <c r="J19" s="6">
        <v>17.147300000000001</v>
      </c>
      <c r="K19" s="6">
        <v>14.0023</v>
      </c>
      <c r="L19" s="5">
        <v>256.61279999999999</v>
      </c>
      <c r="M19" s="5">
        <v>16.133400000000002</v>
      </c>
      <c r="N19" s="5">
        <v>240.4794</v>
      </c>
      <c r="O19" s="9">
        <v>93.7</v>
      </c>
      <c r="P19" s="5">
        <v>2.13</v>
      </c>
      <c r="Q19" s="5">
        <v>13.3</v>
      </c>
      <c r="R19" s="5"/>
      <c r="S19" t="str">
        <f t="shared" si="0"/>
        <v>Summer_1_G_C-1</v>
      </c>
    </row>
    <row r="20" spans="1:19" x14ac:dyDescent="0.25">
      <c r="A20" s="5" t="s">
        <v>17</v>
      </c>
      <c r="B20" s="6">
        <v>2</v>
      </c>
      <c r="C20" s="7">
        <v>44613</v>
      </c>
      <c r="D20" s="6" t="s">
        <v>18</v>
      </c>
      <c r="E20" s="6" t="s">
        <v>19</v>
      </c>
      <c r="F20" s="8">
        <v>43</v>
      </c>
      <c r="G20" s="6" t="s">
        <v>20</v>
      </c>
      <c r="H20" s="6">
        <v>6.4</v>
      </c>
      <c r="I20" s="5">
        <v>17.612100000000002</v>
      </c>
      <c r="J20" s="6">
        <v>7.7512999999999996</v>
      </c>
      <c r="K20" s="6">
        <v>7.2435999999999998</v>
      </c>
      <c r="L20" s="5">
        <v>10.368499999999999</v>
      </c>
      <c r="M20" s="5">
        <v>0.50770000000000004</v>
      </c>
      <c r="N20" s="5">
        <v>9.8607999999999993</v>
      </c>
      <c r="O20" s="9">
        <v>95.1</v>
      </c>
      <c r="P20" s="5">
        <v>0.88</v>
      </c>
      <c r="Q20" s="5">
        <v>5.5</v>
      </c>
      <c r="R20" s="5"/>
      <c r="S20" t="str">
        <f t="shared" si="0"/>
        <v>Summer_2_C_A</v>
      </c>
    </row>
    <row r="21" spans="1:19" x14ac:dyDescent="0.25">
      <c r="A21" s="5" t="s">
        <v>17</v>
      </c>
      <c r="B21" s="6">
        <v>2</v>
      </c>
      <c r="C21" s="7">
        <v>44613</v>
      </c>
      <c r="D21" s="6" t="s">
        <v>18</v>
      </c>
      <c r="E21" s="6" t="s">
        <v>21</v>
      </c>
      <c r="F21" s="8">
        <v>44</v>
      </c>
      <c r="G21" s="6" t="s">
        <v>20</v>
      </c>
      <c r="H21" s="6">
        <v>6.5</v>
      </c>
      <c r="I21" s="5">
        <v>16.213100000000001</v>
      </c>
      <c r="J21" s="6">
        <v>7.8155000000000001</v>
      </c>
      <c r="K21" s="6">
        <v>7.3540000000000001</v>
      </c>
      <c r="L21" s="5">
        <v>8.8590999999999998</v>
      </c>
      <c r="M21" s="5">
        <v>0.46150000000000002</v>
      </c>
      <c r="N21" s="5">
        <v>8.3976000000000006</v>
      </c>
      <c r="O21" s="9">
        <v>94.8</v>
      </c>
      <c r="P21" s="5">
        <v>0.71</v>
      </c>
      <c r="Q21" s="5">
        <v>4.4000000000000004</v>
      </c>
      <c r="R21" s="5"/>
      <c r="S21" t="str">
        <f t="shared" si="0"/>
        <v>Summer_2_C_B</v>
      </c>
    </row>
    <row r="22" spans="1:19" x14ac:dyDescent="0.25">
      <c r="A22" s="5" t="s">
        <v>17</v>
      </c>
      <c r="B22" s="6">
        <v>2</v>
      </c>
      <c r="C22" s="7">
        <v>44613</v>
      </c>
      <c r="D22" s="6" t="s">
        <v>18</v>
      </c>
      <c r="E22" s="6" t="s">
        <v>18</v>
      </c>
      <c r="F22" s="8">
        <v>45</v>
      </c>
      <c r="G22" s="6" t="s">
        <v>20</v>
      </c>
      <c r="H22" s="6">
        <v>6.5</v>
      </c>
      <c r="I22" s="5">
        <v>21.190300000000001</v>
      </c>
      <c r="J22" s="6">
        <v>8.0693999999999999</v>
      </c>
      <c r="K22" s="6">
        <v>7.3494000000000002</v>
      </c>
      <c r="L22" s="5">
        <v>13.8409</v>
      </c>
      <c r="M22" s="5">
        <v>0.72</v>
      </c>
      <c r="N22" s="5">
        <v>13.120900000000001</v>
      </c>
      <c r="O22" s="9">
        <v>94.8</v>
      </c>
      <c r="P22" s="5">
        <v>0.71</v>
      </c>
      <c r="Q22" s="5">
        <v>4.4000000000000004</v>
      </c>
      <c r="R22" s="5"/>
      <c r="S22" t="str">
        <f t="shared" si="0"/>
        <v>Summer_2_C_C</v>
      </c>
    </row>
    <row r="23" spans="1:19" x14ac:dyDescent="0.25">
      <c r="A23" s="5" t="s">
        <v>17</v>
      </c>
      <c r="B23" s="6">
        <v>2</v>
      </c>
      <c r="C23" s="7">
        <v>44613</v>
      </c>
      <c r="D23" s="6" t="s">
        <v>22</v>
      </c>
      <c r="E23" s="6" t="s">
        <v>19</v>
      </c>
      <c r="F23" s="8">
        <v>46</v>
      </c>
      <c r="G23" s="6" t="s">
        <v>20</v>
      </c>
      <c r="H23" s="6">
        <v>6.5</v>
      </c>
      <c r="I23" s="5">
        <v>22.340299999999999</v>
      </c>
      <c r="J23" s="6">
        <v>8.2850000000000001</v>
      </c>
      <c r="K23" s="6">
        <v>7.5244</v>
      </c>
      <c r="L23" s="5">
        <v>14.815899999999999</v>
      </c>
      <c r="M23" s="5">
        <v>0.76060000000000005</v>
      </c>
      <c r="N23" s="5">
        <v>14.055300000000001</v>
      </c>
      <c r="O23" s="9">
        <v>94.9</v>
      </c>
      <c r="P23" s="5">
        <v>0.83</v>
      </c>
      <c r="Q23" s="5">
        <v>5.2</v>
      </c>
      <c r="R23" s="5"/>
      <c r="S23" t="str">
        <f t="shared" si="0"/>
        <v>Summer_2_G_A</v>
      </c>
    </row>
    <row r="24" spans="1:19" x14ac:dyDescent="0.25">
      <c r="A24" s="5" t="s">
        <v>17</v>
      </c>
      <c r="B24" s="6">
        <v>2</v>
      </c>
      <c r="C24" s="7">
        <v>44613</v>
      </c>
      <c r="D24" s="6" t="s">
        <v>22</v>
      </c>
      <c r="E24" s="6" t="s">
        <v>21</v>
      </c>
      <c r="F24" s="8">
        <v>47</v>
      </c>
      <c r="G24" s="6" t="s">
        <v>20</v>
      </c>
      <c r="H24" s="6">
        <v>6.6</v>
      </c>
      <c r="I24" s="5">
        <v>22.927900000000001</v>
      </c>
      <c r="J24" s="6">
        <v>8.3147000000000002</v>
      </c>
      <c r="K24" s="6">
        <v>7.3230000000000004</v>
      </c>
      <c r="L24" s="5">
        <v>15.604900000000001</v>
      </c>
      <c r="M24" s="5">
        <v>0.99170000000000003</v>
      </c>
      <c r="N24" s="5">
        <v>14.613200000000001</v>
      </c>
      <c r="O24" s="9">
        <v>93.6</v>
      </c>
      <c r="P24" s="5">
        <v>0.73</v>
      </c>
      <c r="Q24" s="5">
        <v>4.5999999999999996</v>
      </c>
      <c r="R24" s="5"/>
      <c r="S24" t="str">
        <f t="shared" si="0"/>
        <v>Summer_2_G_B</v>
      </c>
    </row>
    <row r="25" spans="1:19" x14ac:dyDescent="0.25">
      <c r="A25" s="5" t="s">
        <v>17</v>
      </c>
      <c r="B25" s="6">
        <v>2</v>
      </c>
      <c r="C25" s="7">
        <v>44613</v>
      </c>
      <c r="D25" s="6" t="s">
        <v>22</v>
      </c>
      <c r="E25" s="6" t="s">
        <v>18</v>
      </c>
      <c r="F25" s="8">
        <v>48</v>
      </c>
      <c r="G25" s="6" t="s">
        <v>20</v>
      </c>
      <c r="H25" s="6">
        <v>6.5</v>
      </c>
      <c r="I25" s="5">
        <v>20.1449</v>
      </c>
      <c r="J25" s="6">
        <v>8.5006000000000004</v>
      </c>
      <c r="K25" s="6">
        <v>7.5465999999999998</v>
      </c>
      <c r="L25" s="5">
        <v>12.5983</v>
      </c>
      <c r="M25" s="5">
        <v>0.95399999999999996</v>
      </c>
      <c r="N25" s="5">
        <v>11.644299999999999</v>
      </c>
      <c r="O25" s="9">
        <v>92.4</v>
      </c>
      <c r="P25" s="5">
        <v>0.67</v>
      </c>
      <c r="Q25" s="5">
        <v>4.2</v>
      </c>
      <c r="R25" s="5"/>
      <c r="S25" t="str">
        <f t="shared" si="0"/>
        <v>Summer_2_G_C</v>
      </c>
    </row>
    <row r="26" spans="1:19" x14ac:dyDescent="0.25">
      <c r="A26" s="5" t="s">
        <v>17</v>
      </c>
      <c r="B26" s="6">
        <v>2</v>
      </c>
      <c r="C26" s="7">
        <v>44631</v>
      </c>
      <c r="D26" s="6" t="s">
        <v>18</v>
      </c>
      <c r="E26" s="6" t="s">
        <v>19</v>
      </c>
      <c r="F26" s="8">
        <v>49</v>
      </c>
      <c r="G26" s="6" t="s">
        <v>27</v>
      </c>
      <c r="H26" s="6">
        <v>12.9</v>
      </c>
      <c r="I26" s="5">
        <v>42.540300000000002</v>
      </c>
      <c r="J26" s="6">
        <v>17.423999999999999</v>
      </c>
      <c r="K26" s="6">
        <v>13.8558</v>
      </c>
      <c r="L26" s="5">
        <v>28.6845</v>
      </c>
      <c r="M26" s="5">
        <v>3.5682</v>
      </c>
      <c r="N26" s="5">
        <v>25.116299999999999</v>
      </c>
      <c r="O26" s="9">
        <v>87.6</v>
      </c>
      <c r="P26" s="5">
        <v>1.17</v>
      </c>
      <c r="Q26" s="5">
        <v>7.3</v>
      </c>
      <c r="R26" s="5"/>
      <c r="S26" t="str">
        <f t="shared" si="0"/>
        <v>Summer_2_C_A</v>
      </c>
    </row>
    <row r="27" spans="1:19" x14ac:dyDescent="0.25">
      <c r="A27" s="5" t="s">
        <v>17</v>
      </c>
      <c r="B27" s="6">
        <v>2</v>
      </c>
      <c r="C27" s="7">
        <v>44631</v>
      </c>
      <c r="D27" s="6" t="s">
        <v>18</v>
      </c>
      <c r="E27" s="6" t="s">
        <v>21</v>
      </c>
      <c r="F27" s="8">
        <v>50</v>
      </c>
      <c r="G27" s="6" t="s">
        <v>27</v>
      </c>
      <c r="H27" s="6">
        <v>13</v>
      </c>
      <c r="I27" s="5">
        <v>46.426200000000001</v>
      </c>
      <c r="J27" s="6">
        <v>16.8779</v>
      </c>
      <c r="K27" s="6">
        <v>13.935700000000001</v>
      </c>
      <c r="L27" s="5">
        <v>32.490499999999997</v>
      </c>
      <c r="M27" s="5">
        <v>2.9422000000000001</v>
      </c>
      <c r="N27" s="5">
        <v>29.548300000000001</v>
      </c>
      <c r="O27" s="9">
        <v>90.9</v>
      </c>
      <c r="P27" s="5">
        <v>0.77</v>
      </c>
      <c r="Q27" s="5">
        <v>4.8</v>
      </c>
      <c r="R27" s="5"/>
      <c r="S27" t="str">
        <f t="shared" si="0"/>
        <v>Summer_2_C_B</v>
      </c>
    </row>
    <row r="28" spans="1:19" x14ac:dyDescent="0.25">
      <c r="A28" s="5" t="s">
        <v>17</v>
      </c>
      <c r="B28" s="6">
        <v>2</v>
      </c>
      <c r="C28" s="7">
        <v>44631</v>
      </c>
      <c r="D28" s="6" t="s">
        <v>18</v>
      </c>
      <c r="E28" s="6" t="s">
        <v>18</v>
      </c>
      <c r="F28" s="8">
        <v>51</v>
      </c>
      <c r="G28" s="6" t="s">
        <v>27</v>
      </c>
      <c r="H28" s="6">
        <v>12.9</v>
      </c>
      <c r="I28" s="5">
        <v>32.012599999999999</v>
      </c>
      <c r="J28" s="6">
        <v>17.057600000000001</v>
      </c>
      <c r="K28" s="6">
        <v>13.8033</v>
      </c>
      <c r="L28" s="5">
        <v>18.209299999999999</v>
      </c>
      <c r="M28" s="5">
        <v>3.2543000000000002</v>
      </c>
      <c r="N28" s="5">
        <v>14.955</v>
      </c>
      <c r="O28" s="9">
        <v>82.1</v>
      </c>
      <c r="P28" s="5">
        <v>0.91</v>
      </c>
      <c r="Q28" s="5">
        <v>5.7</v>
      </c>
      <c r="R28" s="5"/>
      <c r="S28" t="str">
        <f t="shared" si="0"/>
        <v>Summer_2_C_C</v>
      </c>
    </row>
    <row r="29" spans="1:19" x14ac:dyDescent="0.25">
      <c r="A29" s="5" t="s">
        <v>17</v>
      </c>
      <c r="B29" s="6">
        <v>2</v>
      </c>
      <c r="C29" s="7">
        <v>44631</v>
      </c>
      <c r="D29" s="6" t="s">
        <v>22</v>
      </c>
      <c r="E29" s="6" t="s">
        <v>19</v>
      </c>
      <c r="F29" s="8">
        <v>52</v>
      </c>
      <c r="G29" s="6" t="s">
        <v>27</v>
      </c>
      <c r="H29" s="6">
        <v>12.9</v>
      </c>
      <c r="I29" s="5">
        <v>52.432899999999997</v>
      </c>
      <c r="J29" s="6">
        <v>18.111799999999999</v>
      </c>
      <c r="K29" s="6">
        <v>13.9374</v>
      </c>
      <c r="L29" s="5">
        <v>38.4955</v>
      </c>
      <c r="M29" s="5">
        <v>4.1744000000000003</v>
      </c>
      <c r="N29" s="5">
        <v>34.321100000000001</v>
      </c>
      <c r="O29" s="9">
        <v>89.2</v>
      </c>
      <c r="P29" s="5">
        <v>1.1499999999999999</v>
      </c>
      <c r="Q29" s="5">
        <v>7.2</v>
      </c>
      <c r="R29" s="5"/>
      <c r="S29" t="str">
        <f t="shared" si="0"/>
        <v>Summer_2_G_A</v>
      </c>
    </row>
    <row r="30" spans="1:19" x14ac:dyDescent="0.25">
      <c r="A30" s="5" t="s">
        <v>17</v>
      </c>
      <c r="B30" s="6">
        <v>2</v>
      </c>
      <c r="C30" s="7">
        <v>44631</v>
      </c>
      <c r="D30" s="6" t="s">
        <v>22</v>
      </c>
      <c r="E30" s="6" t="s">
        <v>21</v>
      </c>
      <c r="F30" s="8">
        <v>53</v>
      </c>
      <c r="G30" s="6" t="s">
        <v>27</v>
      </c>
      <c r="H30" s="6">
        <v>13</v>
      </c>
      <c r="I30" s="5">
        <v>53.562199999999997</v>
      </c>
      <c r="J30" s="5">
        <v>18.524000000000001</v>
      </c>
      <c r="K30" s="6">
        <v>13.9518</v>
      </c>
      <c r="L30" s="5">
        <v>39.610399999999998</v>
      </c>
      <c r="M30" s="5">
        <v>4.5721999999999996</v>
      </c>
      <c r="N30" s="5">
        <v>35.038200000000003</v>
      </c>
      <c r="O30" s="9">
        <v>88.5</v>
      </c>
      <c r="P30" s="5">
        <v>1.26</v>
      </c>
      <c r="Q30" s="5">
        <v>7.9</v>
      </c>
      <c r="R30" s="5"/>
      <c r="S30" t="str">
        <f t="shared" si="0"/>
        <v>Summer_2_G_B</v>
      </c>
    </row>
    <row r="31" spans="1:19" x14ac:dyDescent="0.25">
      <c r="A31" s="5" t="s">
        <v>17</v>
      </c>
      <c r="B31" s="6">
        <v>2</v>
      </c>
      <c r="C31" s="7">
        <v>44631</v>
      </c>
      <c r="D31" s="6" t="s">
        <v>22</v>
      </c>
      <c r="E31" s="6" t="s">
        <v>18</v>
      </c>
      <c r="F31" s="8">
        <v>54</v>
      </c>
      <c r="G31" s="6" t="s">
        <v>27</v>
      </c>
      <c r="H31" s="6">
        <v>12.9</v>
      </c>
      <c r="I31" s="5">
        <v>38.2179</v>
      </c>
      <c r="J31" s="6">
        <v>18.293800000000001</v>
      </c>
      <c r="K31" s="6">
        <v>14.1755</v>
      </c>
      <c r="L31" s="5">
        <v>24.042400000000001</v>
      </c>
      <c r="M31" s="5">
        <v>4.1182999999999996</v>
      </c>
      <c r="N31" s="5">
        <v>19.924099999999999</v>
      </c>
      <c r="O31" s="9">
        <v>82.9</v>
      </c>
      <c r="P31" s="5">
        <v>0.78</v>
      </c>
      <c r="Q31" s="5">
        <v>4.9000000000000004</v>
      </c>
      <c r="R31" s="5"/>
      <c r="S31" t="str">
        <f t="shared" si="0"/>
        <v>Summer_2_G_C</v>
      </c>
    </row>
    <row r="32" spans="1:19" x14ac:dyDescent="0.25">
      <c r="A32" s="5" t="s">
        <v>17</v>
      </c>
      <c r="B32" s="6">
        <v>2</v>
      </c>
      <c r="C32" s="7">
        <v>44655</v>
      </c>
      <c r="D32" s="6" t="s">
        <v>18</v>
      </c>
      <c r="E32" s="6" t="s">
        <v>23</v>
      </c>
      <c r="F32" s="8">
        <v>55</v>
      </c>
      <c r="G32" s="6" t="s">
        <v>27</v>
      </c>
      <c r="H32" s="6">
        <v>13</v>
      </c>
      <c r="I32" s="5">
        <v>61.854999999999997</v>
      </c>
      <c r="J32" s="6">
        <v>18.088000000000001</v>
      </c>
      <c r="K32" s="6">
        <v>13.9985</v>
      </c>
      <c r="L32" s="5">
        <v>139.63419999999999</v>
      </c>
      <c r="M32" s="5">
        <v>12.2966</v>
      </c>
      <c r="N32" s="5">
        <v>127.33759999999999</v>
      </c>
      <c r="O32" s="9">
        <v>91</v>
      </c>
      <c r="P32" s="5">
        <v>3.3</v>
      </c>
      <c r="Q32" s="5">
        <v>20.6</v>
      </c>
      <c r="R32" s="5"/>
      <c r="S32" t="str">
        <f t="shared" si="0"/>
        <v>Summer_2_C_A-1</v>
      </c>
    </row>
    <row r="33" spans="1:19" x14ac:dyDescent="0.25">
      <c r="A33" s="5" t="s">
        <v>17</v>
      </c>
      <c r="B33" s="6">
        <v>2</v>
      </c>
      <c r="C33" s="7">
        <v>44655</v>
      </c>
      <c r="D33" s="6" t="s">
        <v>18</v>
      </c>
      <c r="E33" s="6" t="s">
        <v>24</v>
      </c>
      <c r="F33" s="8">
        <v>58</v>
      </c>
      <c r="G33" s="6" t="s">
        <v>27</v>
      </c>
      <c r="H33" s="6">
        <v>13</v>
      </c>
      <c r="I33" s="5">
        <v>66.484099999999998</v>
      </c>
      <c r="J33" s="6">
        <v>18.582799999999999</v>
      </c>
      <c r="K33" s="6">
        <v>14.0669</v>
      </c>
      <c r="L33" s="5">
        <v>137.0848</v>
      </c>
      <c r="M33" s="5">
        <v>10.61</v>
      </c>
      <c r="N33" s="5">
        <v>126.4748</v>
      </c>
      <c r="O33" s="9">
        <v>92.5</v>
      </c>
      <c r="P33" s="5">
        <v>1.1499999999999999</v>
      </c>
      <c r="Q33" s="5">
        <v>7.2</v>
      </c>
      <c r="R33" s="5"/>
      <c r="S33" t="str">
        <f t="shared" si="0"/>
        <v>Summer_2_C_B-1</v>
      </c>
    </row>
    <row r="34" spans="1:19" x14ac:dyDescent="0.25">
      <c r="A34" s="5" t="s">
        <v>17</v>
      </c>
      <c r="B34" s="6">
        <v>2</v>
      </c>
      <c r="C34" s="7">
        <v>44655</v>
      </c>
      <c r="D34" s="6" t="s">
        <v>18</v>
      </c>
      <c r="E34" s="6" t="s">
        <v>25</v>
      </c>
      <c r="F34" s="8">
        <v>61</v>
      </c>
      <c r="G34" s="6" t="s">
        <v>27</v>
      </c>
      <c r="H34" s="6">
        <v>13</v>
      </c>
      <c r="I34" s="5">
        <v>67.247299999999996</v>
      </c>
      <c r="J34" s="6">
        <v>19.442799999999998</v>
      </c>
      <c r="K34" s="6">
        <v>14.1927</v>
      </c>
      <c r="L34" s="5">
        <v>149.30959999999999</v>
      </c>
      <c r="M34" s="5">
        <v>15.772500000000001</v>
      </c>
      <c r="N34" s="5">
        <v>133.53710000000001</v>
      </c>
      <c r="O34" s="9">
        <v>89.4</v>
      </c>
      <c r="P34" s="5">
        <v>3.63</v>
      </c>
      <c r="Q34" s="5">
        <v>22.7</v>
      </c>
      <c r="R34" s="5"/>
      <c r="S34" t="str">
        <f t="shared" si="0"/>
        <v>Summer_2_C_C-1</v>
      </c>
    </row>
    <row r="35" spans="1:19" x14ac:dyDescent="0.25">
      <c r="A35" s="5" t="s">
        <v>17</v>
      </c>
      <c r="B35" s="6">
        <v>2</v>
      </c>
      <c r="C35" s="7">
        <v>44655</v>
      </c>
      <c r="D35" s="6" t="s">
        <v>22</v>
      </c>
      <c r="E35" s="6" t="s">
        <v>23</v>
      </c>
      <c r="F35" s="8">
        <v>64</v>
      </c>
      <c r="G35" s="6" t="s">
        <v>27</v>
      </c>
      <c r="H35" s="6">
        <v>13</v>
      </c>
      <c r="I35" s="5">
        <v>59.970799999999997</v>
      </c>
      <c r="J35" s="6">
        <v>16.818200000000001</v>
      </c>
      <c r="K35" s="6">
        <v>13.835100000000001</v>
      </c>
      <c r="L35" s="5">
        <v>184.5701</v>
      </c>
      <c r="M35" s="5">
        <v>14.1319</v>
      </c>
      <c r="N35" s="5">
        <v>170.43819999999999</v>
      </c>
      <c r="O35" s="9">
        <v>92.4</v>
      </c>
      <c r="P35" s="5">
        <v>2.2799999999999998</v>
      </c>
      <c r="Q35" s="5">
        <v>14.2</v>
      </c>
      <c r="R35" s="5"/>
      <c r="S35" t="str">
        <f t="shared" si="0"/>
        <v>Summer_2_G_A-1</v>
      </c>
    </row>
    <row r="36" spans="1:19" x14ac:dyDescent="0.25">
      <c r="A36" s="5" t="s">
        <v>17</v>
      </c>
      <c r="B36" s="6">
        <v>2</v>
      </c>
      <c r="C36" s="7">
        <v>44655</v>
      </c>
      <c r="D36" s="6" t="s">
        <v>22</v>
      </c>
      <c r="E36" s="6" t="s">
        <v>24</v>
      </c>
      <c r="F36" s="8">
        <v>68</v>
      </c>
      <c r="G36" s="6" t="s">
        <v>27</v>
      </c>
      <c r="H36" s="6">
        <v>13</v>
      </c>
      <c r="I36" s="5">
        <v>67.190200000000004</v>
      </c>
      <c r="J36" s="6">
        <v>18.986699999999999</v>
      </c>
      <c r="K36" s="6">
        <v>13.8849</v>
      </c>
      <c r="L36" s="5">
        <v>186.89529999999999</v>
      </c>
      <c r="M36" s="5">
        <v>17.026700000000002</v>
      </c>
      <c r="N36" s="5">
        <v>169.86859999999999</v>
      </c>
      <c r="O36" s="9">
        <v>91</v>
      </c>
      <c r="P36" s="5">
        <v>3.48</v>
      </c>
      <c r="Q36" s="5">
        <v>21.7</v>
      </c>
      <c r="R36" s="5"/>
      <c r="S36" t="str">
        <f t="shared" si="0"/>
        <v>Summer_2_G_B-1</v>
      </c>
    </row>
    <row r="37" spans="1:19" x14ac:dyDescent="0.25">
      <c r="A37" s="5" t="s">
        <v>17</v>
      </c>
      <c r="B37" s="6">
        <v>2</v>
      </c>
      <c r="C37" s="7">
        <v>44655</v>
      </c>
      <c r="D37" s="6" t="s">
        <v>22</v>
      </c>
      <c r="E37" s="6" t="s">
        <v>25</v>
      </c>
      <c r="F37" s="8">
        <v>72</v>
      </c>
      <c r="G37" s="6" t="s">
        <v>27</v>
      </c>
      <c r="H37" s="6">
        <v>13</v>
      </c>
      <c r="I37" s="5">
        <v>64.860299999999995</v>
      </c>
      <c r="J37" s="6">
        <v>17.1068</v>
      </c>
      <c r="K37" s="6">
        <v>13.8261</v>
      </c>
      <c r="L37" s="5">
        <v>351.30399999999997</v>
      </c>
      <c r="M37" s="5">
        <v>21.069900000000001</v>
      </c>
      <c r="N37" s="5">
        <v>330.23410000000001</v>
      </c>
      <c r="O37" s="9">
        <v>94</v>
      </c>
      <c r="P37" s="5">
        <v>1.29</v>
      </c>
      <c r="Q37" s="5">
        <v>8.1</v>
      </c>
      <c r="R37" s="5"/>
      <c r="S37" t="str">
        <f t="shared" si="0"/>
        <v>Summer_2_G_C-1</v>
      </c>
    </row>
    <row r="38" spans="1:19" x14ac:dyDescent="0.25">
      <c r="A38" s="5" t="s">
        <v>28</v>
      </c>
      <c r="B38" s="6">
        <v>1</v>
      </c>
      <c r="C38" s="7">
        <v>44701</v>
      </c>
      <c r="D38" s="6" t="s">
        <v>18</v>
      </c>
      <c r="E38" s="6" t="s">
        <v>19</v>
      </c>
      <c r="F38" s="8">
        <v>79</v>
      </c>
      <c r="G38" s="6" t="s">
        <v>20</v>
      </c>
      <c r="H38" s="6">
        <v>6.8</v>
      </c>
      <c r="I38" s="5">
        <v>14.9533</v>
      </c>
      <c r="J38" s="6">
        <v>8.0391999999999992</v>
      </c>
      <c r="K38" s="6">
        <v>7.8727</v>
      </c>
      <c r="L38" s="5">
        <v>7.0805999999999996</v>
      </c>
      <c r="M38" s="5">
        <v>0.16650000000000001</v>
      </c>
      <c r="N38" s="5">
        <v>6.9141000000000004</v>
      </c>
      <c r="O38" s="9">
        <v>97.6</v>
      </c>
      <c r="P38" s="5">
        <v>0.4</v>
      </c>
      <c r="Q38" s="5">
        <v>2.5</v>
      </c>
      <c r="R38" s="5"/>
      <c r="S38" t="str">
        <f t="shared" si="0"/>
        <v>Winter_1_C_A</v>
      </c>
    </row>
    <row r="39" spans="1:19" x14ac:dyDescent="0.25">
      <c r="A39" s="5" t="s">
        <v>28</v>
      </c>
      <c r="B39" s="6">
        <v>1</v>
      </c>
      <c r="C39" s="7">
        <v>44701</v>
      </c>
      <c r="D39" s="6" t="s">
        <v>18</v>
      </c>
      <c r="E39" s="6" t="s">
        <v>21</v>
      </c>
      <c r="F39" s="8">
        <v>80</v>
      </c>
      <c r="G39" s="6" t="s">
        <v>20</v>
      </c>
      <c r="H39" s="6">
        <v>6.7</v>
      </c>
      <c r="I39" s="5">
        <v>19.3141</v>
      </c>
      <c r="J39" s="6">
        <v>7.8876999999999997</v>
      </c>
      <c r="K39" s="6">
        <v>7.7739000000000003</v>
      </c>
      <c r="L39" s="5">
        <v>11.5402</v>
      </c>
      <c r="M39" s="5">
        <v>0.1138</v>
      </c>
      <c r="N39" s="5">
        <v>11.426399999999999</v>
      </c>
      <c r="O39" s="9">
        <v>99</v>
      </c>
      <c r="P39" s="5">
        <v>0.24</v>
      </c>
      <c r="Q39" s="5">
        <v>1.5</v>
      </c>
      <c r="R39" s="5"/>
      <c r="S39" t="str">
        <f t="shared" si="0"/>
        <v>Winter_1_C_B</v>
      </c>
    </row>
    <row r="40" spans="1:19" x14ac:dyDescent="0.25">
      <c r="A40" s="5" t="s">
        <v>28</v>
      </c>
      <c r="B40" s="6">
        <v>1</v>
      </c>
      <c r="C40" s="7">
        <v>44701</v>
      </c>
      <c r="D40" s="6" t="s">
        <v>18</v>
      </c>
      <c r="E40" s="6" t="s">
        <v>18</v>
      </c>
      <c r="F40" s="8">
        <v>81</v>
      </c>
      <c r="G40" s="6" t="s">
        <v>20</v>
      </c>
      <c r="H40" s="6">
        <v>6.8</v>
      </c>
      <c r="I40" s="5">
        <v>17.340800000000002</v>
      </c>
      <c r="J40" s="6">
        <v>8.0146999999999995</v>
      </c>
      <c r="K40" s="6">
        <v>7.8019999999999996</v>
      </c>
      <c r="L40" s="5">
        <v>9.5388000000000002</v>
      </c>
      <c r="M40" s="5">
        <v>0.2127</v>
      </c>
      <c r="N40" s="5">
        <v>9.3261000000000003</v>
      </c>
      <c r="O40" s="9">
        <v>97.8</v>
      </c>
      <c r="P40" s="5">
        <v>0.28000000000000003</v>
      </c>
      <c r="Q40" s="5">
        <v>1.8</v>
      </c>
      <c r="R40" s="5"/>
      <c r="S40" t="str">
        <f t="shared" si="0"/>
        <v>Winter_1_C_C</v>
      </c>
    </row>
    <row r="41" spans="1:19" x14ac:dyDescent="0.25">
      <c r="A41" s="5" t="s">
        <v>28</v>
      </c>
      <c r="B41" s="6">
        <v>1</v>
      </c>
      <c r="C41" s="7">
        <v>44701</v>
      </c>
      <c r="D41" s="6" t="s">
        <v>22</v>
      </c>
      <c r="E41" s="6" t="s">
        <v>19</v>
      </c>
      <c r="F41" s="8">
        <v>82</v>
      </c>
      <c r="G41" s="6" t="s">
        <v>20</v>
      </c>
      <c r="H41" s="6">
        <v>6.7</v>
      </c>
      <c r="I41" s="5">
        <v>17.845500000000001</v>
      </c>
      <c r="J41" s="6">
        <v>8.0671999999999997</v>
      </c>
      <c r="K41" s="6">
        <v>7.8750999999999998</v>
      </c>
      <c r="L41" s="5">
        <v>9.9703999999999997</v>
      </c>
      <c r="M41" s="5">
        <v>0.19209999999999999</v>
      </c>
      <c r="N41" s="5">
        <v>9.7782999999999998</v>
      </c>
      <c r="O41" s="9">
        <v>98.1</v>
      </c>
      <c r="P41" s="5">
        <v>0.57999999999999996</v>
      </c>
      <c r="Q41" s="5">
        <v>3.6</v>
      </c>
      <c r="R41" s="5"/>
      <c r="S41" t="str">
        <f t="shared" si="0"/>
        <v>Winter_1_G_A</v>
      </c>
    </row>
    <row r="42" spans="1:19" x14ac:dyDescent="0.25">
      <c r="A42" s="5" t="s">
        <v>28</v>
      </c>
      <c r="B42" s="6">
        <v>1</v>
      </c>
      <c r="C42" s="7">
        <v>44701</v>
      </c>
      <c r="D42" s="6" t="s">
        <v>22</v>
      </c>
      <c r="E42" s="6" t="s">
        <v>21</v>
      </c>
      <c r="F42" s="8">
        <v>83</v>
      </c>
      <c r="G42" s="6" t="s">
        <v>20</v>
      </c>
      <c r="H42" s="6">
        <v>6.8</v>
      </c>
      <c r="I42" s="5">
        <v>22.185300000000002</v>
      </c>
      <c r="J42" s="6">
        <v>8.2289999999999992</v>
      </c>
      <c r="K42" s="6">
        <v>8.0328999999999997</v>
      </c>
      <c r="L42" s="5">
        <v>14.1524</v>
      </c>
      <c r="M42" s="5">
        <v>0.1961</v>
      </c>
      <c r="N42" s="5">
        <v>13.956300000000001</v>
      </c>
      <c r="O42" s="9">
        <v>98.6</v>
      </c>
      <c r="P42" s="5">
        <v>0.32</v>
      </c>
      <c r="Q42" s="5">
        <v>2</v>
      </c>
      <c r="R42" s="5"/>
      <c r="S42" t="str">
        <f t="shared" si="0"/>
        <v>Winter_1_G_B</v>
      </c>
    </row>
    <row r="43" spans="1:19" x14ac:dyDescent="0.25">
      <c r="A43" s="5" t="s">
        <v>28</v>
      </c>
      <c r="B43" s="6">
        <v>1</v>
      </c>
      <c r="C43" s="7">
        <v>44701</v>
      </c>
      <c r="D43" s="6" t="s">
        <v>22</v>
      </c>
      <c r="E43" s="6" t="s">
        <v>18</v>
      </c>
      <c r="F43" s="8">
        <v>84</v>
      </c>
      <c r="G43" s="6" t="s">
        <v>20</v>
      </c>
      <c r="H43" s="6">
        <v>6.7</v>
      </c>
      <c r="I43" s="5">
        <v>14.4826</v>
      </c>
      <c r="J43" s="6">
        <v>7.9048999999999996</v>
      </c>
      <c r="K43" s="6">
        <v>7.7485999999999997</v>
      </c>
      <c r="L43" s="5">
        <v>6.734</v>
      </c>
      <c r="M43" s="5">
        <v>0.15629999999999999</v>
      </c>
      <c r="N43" s="5">
        <v>6.5777000000000001</v>
      </c>
      <c r="O43" s="9">
        <v>97.7</v>
      </c>
      <c r="P43" s="5">
        <v>0.26</v>
      </c>
      <c r="Q43" s="5">
        <v>1.6</v>
      </c>
      <c r="R43" s="5"/>
      <c r="S43" t="str">
        <f t="shared" si="0"/>
        <v>Winter_1_G_C</v>
      </c>
    </row>
    <row r="44" spans="1:19" x14ac:dyDescent="0.25">
      <c r="A44" s="5" t="s">
        <v>28</v>
      </c>
      <c r="B44" s="6">
        <v>1</v>
      </c>
      <c r="C44" s="7">
        <v>44720</v>
      </c>
      <c r="D44" s="6" t="s">
        <v>18</v>
      </c>
      <c r="E44" s="6" t="s">
        <v>19</v>
      </c>
      <c r="F44" s="8">
        <v>85</v>
      </c>
      <c r="G44" s="6" t="s">
        <v>27</v>
      </c>
      <c r="H44" s="6">
        <v>13</v>
      </c>
      <c r="I44" s="6">
        <v>27.5124</v>
      </c>
      <c r="J44" s="6">
        <v>15.008100000000001</v>
      </c>
      <c r="K44" s="6">
        <v>14.164899999999999</v>
      </c>
      <c r="L44" s="5">
        <v>13.3475</v>
      </c>
      <c r="M44" s="5">
        <v>0.84319999999999995</v>
      </c>
      <c r="N44" s="5">
        <v>12.504300000000001</v>
      </c>
      <c r="O44" s="9">
        <v>93.7</v>
      </c>
      <c r="P44" s="5">
        <v>1.6</v>
      </c>
      <c r="Q44" s="5">
        <v>10</v>
      </c>
      <c r="R44" s="5"/>
      <c r="S44" t="str">
        <f t="shared" si="0"/>
        <v>Winter_1_C_A</v>
      </c>
    </row>
    <row r="45" spans="1:19" x14ac:dyDescent="0.25">
      <c r="A45" s="5" t="s">
        <v>28</v>
      </c>
      <c r="B45" s="6">
        <v>1</v>
      </c>
      <c r="C45" s="7">
        <v>44720</v>
      </c>
      <c r="D45" s="6" t="s">
        <v>18</v>
      </c>
      <c r="E45" s="6" t="s">
        <v>21</v>
      </c>
      <c r="F45" s="8">
        <v>86</v>
      </c>
      <c r="G45" s="6" t="s">
        <v>27</v>
      </c>
      <c r="H45" s="6">
        <v>13</v>
      </c>
      <c r="I45" s="5">
        <v>27.670999999999999</v>
      </c>
      <c r="J45" s="6">
        <v>15.245900000000001</v>
      </c>
      <c r="K45" s="6">
        <v>14.260999999999999</v>
      </c>
      <c r="L45" s="5">
        <v>13.41</v>
      </c>
      <c r="M45" s="5">
        <v>0.9849</v>
      </c>
      <c r="N45" s="5">
        <v>12.4251</v>
      </c>
      <c r="O45" s="9">
        <v>92.7</v>
      </c>
      <c r="P45" s="5">
        <v>1.49</v>
      </c>
      <c r="Q45" s="5">
        <v>9.3000000000000007</v>
      </c>
      <c r="R45" s="5"/>
      <c r="S45" t="str">
        <f t="shared" si="0"/>
        <v>Winter_1_C_B</v>
      </c>
    </row>
    <row r="46" spans="1:19" x14ac:dyDescent="0.25">
      <c r="A46" s="5" t="s">
        <v>28</v>
      </c>
      <c r="B46" s="6">
        <v>1</v>
      </c>
      <c r="C46" s="7">
        <v>44720</v>
      </c>
      <c r="D46" s="6" t="s">
        <v>18</v>
      </c>
      <c r="E46" s="6" t="s">
        <v>18</v>
      </c>
      <c r="F46" s="8">
        <v>87</v>
      </c>
      <c r="G46" s="6" t="s">
        <v>27</v>
      </c>
      <c r="H46" s="6">
        <v>13</v>
      </c>
      <c r="I46" s="5">
        <v>29.497399999999999</v>
      </c>
      <c r="J46" s="6">
        <v>15.367100000000001</v>
      </c>
      <c r="K46" s="6">
        <v>14.305199999999999</v>
      </c>
      <c r="L46" s="5">
        <v>15.1922</v>
      </c>
      <c r="M46" s="5">
        <v>1.0619000000000001</v>
      </c>
      <c r="N46" s="5">
        <v>14.1303</v>
      </c>
      <c r="O46" s="9">
        <v>93</v>
      </c>
      <c r="P46" s="5">
        <v>1.54</v>
      </c>
      <c r="Q46" s="5">
        <v>9.6</v>
      </c>
      <c r="R46" s="5"/>
      <c r="S46" t="str">
        <f t="shared" si="0"/>
        <v>Winter_1_C_C</v>
      </c>
    </row>
    <row r="47" spans="1:19" x14ac:dyDescent="0.25">
      <c r="A47" s="5" t="s">
        <v>28</v>
      </c>
      <c r="B47" s="6">
        <v>1</v>
      </c>
      <c r="C47" s="7">
        <v>44720</v>
      </c>
      <c r="D47" s="6" t="s">
        <v>22</v>
      </c>
      <c r="E47" s="6" t="s">
        <v>19</v>
      </c>
      <c r="F47" s="8">
        <v>88</v>
      </c>
      <c r="G47" s="6" t="s">
        <v>27</v>
      </c>
      <c r="H47" s="6">
        <v>13</v>
      </c>
      <c r="I47" s="5">
        <v>30.8765</v>
      </c>
      <c r="J47" s="6">
        <v>15.0862</v>
      </c>
      <c r="K47" s="6">
        <v>14.2064</v>
      </c>
      <c r="L47" s="5">
        <v>16.670100000000001</v>
      </c>
      <c r="M47" s="5">
        <v>0.87980000000000003</v>
      </c>
      <c r="N47" s="5">
        <v>15.7903</v>
      </c>
      <c r="O47" s="9">
        <v>94.7</v>
      </c>
      <c r="P47" s="5">
        <v>1.57</v>
      </c>
      <c r="Q47" s="5">
        <v>9.8000000000000007</v>
      </c>
      <c r="R47" s="5"/>
      <c r="S47" t="str">
        <f t="shared" si="0"/>
        <v>Winter_1_G_A</v>
      </c>
    </row>
    <row r="48" spans="1:19" x14ac:dyDescent="0.25">
      <c r="A48" s="5" t="s">
        <v>28</v>
      </c>
      <c r="B48" s="6">
        <v>1</v>
      </c>
      <c r="C48" s="7">
        <v>44720</v>
      </c>
      <c r="D48" s="6" t="s">
        <v>22</v>
      </c>
      <c r="E48" s="6" t="s">
        <v>21</v>
      </c>
      <c r="F48" s="8">
        <v>89</v>
      </c>
      <c r="G48" s="6" t="s">
        <v>27</v>
      </c>
      <c r="H48" s="6">
        <v>13</v>
      </c>
      <c r="I48" s="5">
        <v>31.450900000000001</v>
      </c>
      <c r="J48" s="6">
        <v>15.2248</v>
      </c>
      <c r="K48" s="6">
        <v>14.197800000000001</v>
      </c>
      <c r="L48" s="5">
        <v>17.2531</v>
      </c>
      <c r="M48" s="5">
        <v>1.0269999999999999</v>
      </c>
      <c r="N48" s="5">
        <v>16.226099999999999</v>
      </c>
      <c r="O48" s="9">
        <v>94</v>
      </c>
      <c r="P48" s="5">
        <v>1.56</v>
      </c>
      <c r="Q48" s="5">
        <v>9.8000000000000007</v>
      </c>
      <c r="R48" s="5"/>
      <c r="S48" t="str">
        <f t="shared" si="0"/>
        <v>Winter_1_G_B</v>
      </c>
    </row>
    <row r="49" spans="1:19" x14ac:dyDescent="0.25">
      <c r="A49" s="5" t="s">
        <v>28</v>
      </c>
      <c r="B49" s="6">
        <v>1</v>
      </c>
      <c r="C49" s="7">
        <v>44720</v>
      </c>
      <c r="D49" s="6" t="s">
        <v>22</v>
      </c>
      <c r="E49" s="6" t="s">
        <v>18</v>
      </c>
      <c r="F49" s="8">
        <v>90</v>
      </c>
      <c r="G49" s="6" t="s">
        <v>27</v>
      </c>
      <c r="H49" s="6">
        <v>13.1</v>
      </c>
      <c r="I49" s="5">
        <v>32.254100000000001</v>
      </c>
      <c r="J49" s="6">
        <v>15.539899999999999</v>
      </c>
      <c r="K49" s="6">
        <v>14.408200000000001</v>
      </c>
      <c r="L49" s="5">
        <v>17.8459</v>
      </c>
      <c r="M49" s="5">
        <v>1.1316999999999999</v>
      </c>
      <c r="N49" s="5">
        <v>16.714200000000002</v>
      </c>
      <c r="O49" s="9">
        <v>93.7</v>
      </c>
      <c r="P49" s="5">
        <v>1.57</v>
      </c>
      <c r="Q49" s="5">
        <v>9.8000000000000007</v>
      </c>
      <c r="R49" s="5"/>
      <c r="S49" t="str">
        <f t="shared" si="0"/>
        <v>Winter_1_G_C</v>
      </c>
    </row>
    <row r="50" spans="1:19" x14ac:dyDescent="0.25">
      <c r="A50" s="5" t="s">
        <v>28</v>
      </c>
      <c r="B50" s="6">
        <v>1</v>
      </c>
      <c r="C50" s="7">
        <v>44742</v>
      </c>
      <c r="D50" s="6" t="s">
        <v>18</v>
      </c>
      <c r="E50" s="6" t="s">
        <v>19</v>
      </c>
      <c r="F50" s="8">
        <v>91</v>
      </c>
      <c r="G50" s="6" t="s">
        <v>27</v>
      </c>
      <c r="H50" s="6">
        <v>13</v>
      </c>
      <c r="I50" s="5">
        <v>37.0702</v>
      </c>
      <c r="J50" s="6">
        <v>15.4306</v>
      </c>
      <c r="K50" s="6">
        <v>13.8979</v>
      </c>
      <c r="L50" s="5">
        <v>23.1723</v>
      </c>
      <c r="M50" s="5">
        <v>1.5327</v>
      </c>
      <c r="N50" s="5">
        <v>21.639600000000002</v>
      </c>
      <c r="O50" s="9">
        <v>93.4</v>
      </c>
      <c r="P50" s="5">
        <v>1.93</v>
      </c>
      <c r="Q50" s="5">
        <v>12.1</v>
      </c>
      <c r="R50" s="5"/>
      <c r="S50" t="str">
        <f t="shared" si="0"/>
        <v>Winter_1_C_A</v>
      </c>
    </row>
    <row r="51" spans="1:19" x14ac:dyDescent="0.25">
      <c r="A51" s="5" t="s">
        <v>28</v>
      </c>
      <c r="B51" s="6">
        <v>1</v>
      </c>
      <c r="C51" s="7">
        <v>44742</v>
      </c>
      <c r="D51" s="6" t="s">
        <v>18</v>
      </c>
      <c r="E51" s="6" t="s">
        <v>21</v>
      </c>
      <c r="F51" s="8">
        <v>92</v>
      </c>
      <c r="G51" s="6" t="s">
        <v>27</v>
      </c>
      <c r="H51" s="6">
        <v>13.1</v>
      </c>
      <c r="I51" s="5">
        <v>49.473599999999998</v>
      </c>
      <c r="J51" s="6">
        <v>15.6891</v>
      </c>
      <c r="K51" s="6">
        <v>13.922499999999999</v>
      </c>
      <c r="L51" s="5">
        <v>35.551099999999998</v>
      </c>
      <c r="M51" s="5">
        <v>1.7665999999999999</v>
      </c>
      <c r="N51" s="5">
        <v>33.784500000000001</v>
      </c>
      <c r="O51" s="9">
        <v>95</v>
      </c>
      <c r="P51" s="5">
        <v>1.39</v>
      </c>
      <c r="Q51" s="5">
        <v>8.6999999999999993</v>
      </c>
      <c r="R51" s="5"/>
      <c r="S51" t="str">
        <f t="shared" si="0"/>
        <v>Winter_1_C_B</v>
      </c>
    </row>
    <row r="52" spans="1:19" x14ac:dyDescent="0.25">
      <c r="A52" s="5" t="s">
        <v>28</v>
      </c>
      <c r="B52" s="6">
        <v>1</v>
      </c>
      <c r="C52" s="7">
        <v>44742</v>
      </c>
      <c r="D52" s="6" t="s">
        <v>18</v>
      </c>
      <c r="E52" s="6" t="s">
        <v>18</v>
      </c>
      <c r="F52" s="8">
        <v>93</v>
      </c>
      <c r="G52" s="6" t="s">
        <v>27</v>
      </c>
      <c r="H52" s="6">
        <v>13</v>
      </c>
      <c r="I52" s="6">
        <v>39.074300000000001</v>
      </c>
      <c r="J52" s="6">
        <v>15.4176</v>
      </c>
      <c r="K52" s="6">
        <v>13.9061</v>
      </c>
      <c r="L52" s="5">
        <v>25.168199999999999</v>
      </c>
      <c r="M52" s="5">
        <v>1.5115000000000001</v>
      </c>
      <c r="N52" s="5">
        <v>23.656700000000001</v>
      </c>
      <c r="O52" s="9">
        <v>94</v>
      </c>
      <c r="P52" s="5">
        <v>1.51</v>
      </c>
      <c r="Q52" s="5">
        <v>9.4</v>
      </c>
      <c r="R52" s="5"/>
      <c r="S52" t="str">
        <f t="shared" si="0"/>
        <v>Winter_1_C_C</v>
      </c>
    </row>
    <row r="53" spans="1:19" x14ac:dyDescent="0.25">
      <c r="A53" s="5" t="s">
        <v>28</v>
      </c>
      <c r="B53" s="6">
        <v>1</v>
      </c>
      <c r="C53" s="7">
        <v>44742</v>
      </c>
      <c r="D53" s="6" t="s">
        <v>22</v>
      </c>
      <c r="E53" s="6" t="s">
        <v>19</v>
      </c>
      <c r="F53" s="8">
        <v>94</v>
      </c>
      <c r="G53" s="6" t="s">
        <v>27</v>
      </c>
      <c r="H53" s="6">
        <v>13.1</v>
      </c>
      <c r="I53" s="5">
        <v>55.456099999999999</v>
      </c>
      <c r="J53" s="6">
        <v>15.540100000000001</v>
      </c>
      <c r="K53" s="6">
        <v>13.9575</v>
      </c>
      <c r="L53" s="5">
        <v>41.498600000000003</v>
      </c>
      <c r="M53" s="5">
        <v>1.5826</v>
      </c>
      <c r="N53" s="5">
        <v>39.915999999999997</v>
      </c>
      <c r="O53" s="9">
        <v>96.2</v>
      </c>
      <c r="P53" s="5">
        <v>1.18</v>
      </c>
      <c r="Q53" s="5">
        <v>7.4</v>
      </c>
      <c r="R53" s="5"/>
      <c r="S53" t="str">
        <f t="shared" si="0"/>
        <v>Winter_1_G_A</v>
      </c>
    </row>
    <row r="54" spans="1:19" x14ac:dyDescent="0.25">
      <c r="A54" s="5" t="s">
        <v>28</v>
      </c>
      <c r="B54" s="6">
        <v>1</v>
      </c>
      <c r="C54" s="7">
        <v>44742</v>
      </c>
      <c r="D54" s="6" t="s">
        <v>22</v>
      </c>
      <c r="E54" s="6" t="s">
        <v>21</v>
      </c>
      <c r="F54" s="8">
        <v>95</v>
      </c>
      <c r="G54" s="6" t="s">
        <v>27</v>
      </c>
      <c r="H54" s="6">
        <v>13.1</v>
      </c>
      <c r="I54" s="5">
        <v>34.403300000000002</v>
      </c>
      <c r="J54" s="6">
        <v>15.499499999999999</v>
      </c>
      <c r="K54" s="6">
        <v>14.088800000000001</v>
      </c>
      <c r="L54" s="5">
        <v>20.314499999999999</v>
      </c>
      <c r="M54" s="5">
        <v>1.4107000000000001</v>
      </c>
      <c r="N54" s="5">
        <v>18.9038</v>
      </c>
      <c r="O54" s="9">
        <v>93.1</v>
      </c>
      <c r="P54" s="5">
        <v>1.86</v>
      </c>
      <c r="Q54" s="5">
        <v>11.6</v>
      </c>
      <c r="R54" s="5"/>
      <c r="S54" t="str">
        <f t="shared" si="0"/>
        <v>Winter_1_G_B</v>
      </c>
    </row>
    <row r="55" spans="1:19" x14ac:dyDescent="0.25">
      <c r="A55" s="5" t="s">
        <v>28</v>
      </c>
      <c r="B55" s="6">
        <v>1</v>
      </c>
      <c r="C55" s="7">
        <v>44742</v>
      </c>
      <c r="D55" s="6" t="s">
        <v>22</v>
      </c>
      <c r="E55" s="6" t="s">
        <v>18</v>
      </c>
      <c r="F55" s="8">
        <v>96</v>
      </c>
      <c r="G55" s="6" t="s">
        <v>27</v>
      </c>
      <c r="H55" s="6">
        <v>13</v>
      </c>
      <c r="I55" s="5">
        <v>36.390099999999997</v>
      </c>
      <c r="J55" s="6">
        <v>15.3285</v>
      </c>
      <c r="K55" s="6">
        <v>14.002000000000001</v>
      </c>
      <c r="L55" s="5">
        <v>22.388100000000001</v>
      </c>
      <c r="M55" s="5">
        <v>1.3265</v>
      </c>
      <c r="N55" s="5">
        <v>21.061599999999999</v>
      </c>
      <c r="O55" s="9">
        <v>94.1</v>
      </c>
      <c r="P55" s="5">
        <v>1.32</v>
      </c>
      <c r="Q55" s="5">
        <v>8.3000000000000007</v>
      </c>
      <c r="R55" s="5"/>
      <c r="S55" t="str">
        <f t="shared" si="0"/>
        <v>Winter_1_G_C</v>
      </c>
    </row>
    <row r="56" spans="1:19" x14ac:dyDescent="0.25">
      <c r="A56" s="5" t="s">
        <v>28</v>
      </c>
      <c r="B56" s="6">
        <v>2</v>
      </c>
      <c r="C56" s="7">
        <v>44762</v>
      </c>
      <c r="D56" s="6" t="s">
        <v>18</v>
      </c>
      <c r="E56" s="6" t="s">
        <v>19</v>
      </c>
      <c r="F56" s="8">
        <v>97</v>
      </c>
      <c r="G56" s="6" t="s">
        <v>27</v>
      </c>
      <c r="H56" s="6">
        <v>12.9</v>
      </c>
      <c r="I56" s="5">
        <v>19.371400000000001</v>
      </c>
      <c r="J56" s="6">
        <v>13.872299999999999</v>
      </c>
      <c r="K56" s="6">
        <v>13.746499999999999</v>
      </c>
      <c r="L56" s="5">
        <v>5.6249000000000002</v>
      </c>
      <c r="M56" s="5">
        <v>0.1258</v>
      </c>
      <c r="N56" s="5">
        <v>5.4991000000000003</v>
      </c>
      <c r="O56" s="9">
        <v>97.8</v>
      </c>
      <c r="P56" s="5" t="s">
        <v>29</v>
      </c>
      <c r="Q56" s="5" t="s">
        <v>30</v>
      </c>
      <c r="R56" s="5"/>
      <c r="S56" t="str">
        <f t="shared" si="0"/>
        <v>Winter_2_C_A</v>
      </c>
    </row>
    <row r="57" spans="1:19" x14ac:dyDescent="0.25">
      <c r="A57" s="5" t="s">
        <v>28</v>
      </c>
      <c r="B57" s="6">
        <v>2</v>
      </c>
      <c r="C57" s="7">
        <v>44762</v>
      </c>
      <c r="D57" s="6" t="s">
        <v>18</v>
      </c>
      <c r="E57" s="6" t="s">
        <v>21</v>
      </c>
      <c r="F57" s="8">
        <v>98</v>
      </c>
      <c r="G57" s="6" t="s">
        <v>27</v>
      </c>
      <c r="H57" s="6">
        <v>13</v>
      </c>
      <c r="I57" s="5">
        <v>18.950399999999998</v>
      </c>
      <c r="J57" s="6">
        <v>13.933299999999999</v>
      </c>
      <c r="K57" s="6">
        <v>13.8238</v>
      </c>
      <c r="L57" s="5">
        <v>5.1265999999999998</v>
      </c>
      <c r="M57" s="5">
        <v>0.1095</v>
      </c>
      <c r="N57" s="5">
        <v>5.0171000000000001</v>
      </c>
      <c r="O57" s="9">
        <v>97.9</v>
      </c>
      <c r="P57" s="5">
        <v>0.5</v>
      </c>
      <c r="Q57" s="5">
        <v>3.1</v>
      </c>
      <c r="R57" s="5"/>
      <c r="S57" t="str">
        <f t="shared" si="0"/>
        <v>Winter_2_C_B</v>
      </c>
    </row>
    <row r="58" spans="1:19" x14ac:dyDescent="0.25">
      <c r="A58" s="5" t="s">
        <v>28</v>
      </c>
      <c r="B58" s="6">
        <v>2</v>
      </c>
      <c r="C58" s="7">
        <v>44762</v>
      </c>
      <c r="D58" s="6" t="s">
        <v>18</v>
      </c>
      <c r="E58" s="6" t="s">
        <v>18</v>
      </c>
      <c r="F58" s="8">
        <v>99</v>
      </c>
      <c r="G58" s="6" t="s">
        <v>27</v>
      </c>
      <c r="H58" s="6">
        <v>13</v>
      </c>
      <c r="I58" s="5">
        <v>19.616700000000002</v>
      </c>
      <c r="J58" s="6">
        <v>14.0541</v>
      </c>
      <c r="K58" s="6">
        <v>13.948</v>
      </c>
      <c r="L58" s="5">
        <v>5.6687000000000003</v>
      </c>
      <c r="M58" s="5">
        <v>0.1061</v>
      </c>
      <c r="N58" s="5">
        <v>5.5625999999999998</v>
      </c>
      <c r="O58" s="9">
        <v>98.1</v>
      </c>
      <c r="P58" s="5" t="s">
        <v>31</v>
      </c>
      <c r="Q58" s="5" t="s">
        <v>30</v>
      </c>
      <c r="R58" s="5"/>
      <c r="S58" t="str">
        <f t="shared" si="0"/>
        <v>Winter_2_C_C</v>
      </c>
    </row>
    <row r="59" spans="1:19" x14ac:dyDescent="0.25">
      <c r="A59" s="5" t="s">
        <v>28</v>
      </c>
      <c r="B59" s="6">
        <v>2</v>
      </c>
      <c r="C59" s="7">
        <v>44762</v>
      </c>
      <c r="D59" s="6" t="s">
        <v>22</v>
      </c>
      <c r="E59" s="6" t="s">
        <v>19</v>
      </c>
      <c r="F59" s="8">
        <v>100</v>
      </c>
      <c r="G59" s="6" t="s">
        <v>27</v>
      </c>
      <c r="H59" s="6">
        <v>13</v>
      </c>
      <c r="I59" s="5">
        <v>19.2</v>
      </c>
      <c r="J59" s="6">
        <v>13.964</v>
      </c>
      <c r="K59" s="6">
        <v>13.867599999999999</v>
      </c>
      <c r="L59" s="5">
        <v>5.3323999999999998</v>
      </c>
      <c r="M59" s="5">
        <v>9.64E-2</v>
      </c>
      <c r="N59" s="5">
        <v>5.2359999999999998</v>
      </c>
      <c r="O59" s="9">
        <v>98.2</v>
      </c>
      <c r="P59" s="5">
        <v>0.7</v>
      </c>
      <c r="Q59" s="5">
        <v>4.4000000000000004</v>
      </c>
      <c r="R59" s="5"/>
      <c r="S59" t="str">
        <f t="shared" si="0"/>
        <v>Winter_2_G_A</v>
      </c>
    </row>
    <row r="60" spans="1:19" x14ac:dyDescent="0.25">
      <c r="A60" s="5" t="s">
        <v>28</v>
      </c>
      <c r="B60" s="6">
        <v>2</v>
      </c>
      <c r="C60" s="7">
        <v>44762</v>
      </c>
      <c r="D60" s="6" t="s">
        <v>22</v>
      </c>
      <c r="E60" s="6" t="s">
        <v>21</v>
      </c>
      <c r="F60" s="8">
        <v>101</v>
      </c>
      <c r="G60" s="6" t="s">
        <v>27</v>
      </c>
      <c r="H60" s="6">
        <v>13</v>
      </c>
      <c r="I60" s="5">
        <v>20.880700000000001</v>
      </c>
      <c r="J60" s="6">
        <v>14.006</v>
      </c>
      <c r="K60" s="6">
        <v>13.871700000000001</v>
      </c>
      <c r="L60" s="5">
        <v>7.0090000000000003</v>
      </c>
      <c r="M60" s="5">
        <v>0.1343</v>
      </c>
      <c r="N60" s="5">
        <v>6.8746999999999998</v>
      </c>
      <c r="O60" s="9">
        <v>98.1</v>
      </c>
      <c r="P60" s="5">
        <v>0.97</v>
      </c>
      <c r="Q60" s="5">
        <v>6.1</v>
      </c>
      <c r="R60" s="5"/>
      <c r="S60" t="str">
        <f t="shared" si="0"/>
        <v>Winter_2_G_B</v>
      </c>
    </row>
    <row r="61" spans="1:19" x14ac:dyDescent="0.25">
      <c r="A61" s="5" t="s">
        <v>28</v>
      </c>
      <c r="B61" s="6">
        <v>2</v>
      </c>
      <c r="C61" s="7">
        <v>44762</v>
      </c>
      <c r="D61" s="6" t="s">
        <v>22</v>
      </c>
      <c r="E61" s="6" t="s">
        <v>18</v>
      </c>
      <c r="F61" s="8">
        <v>102</v>
      </c>
      <c r="G61" s="6" t="s">
        <v>27</v>
      </c>
      <c r="H61" s="6">
        <v>13</v>
      </c>
      <c r="I61" s="5">
        <v>18.671800000000001</v>
      </c>
      <c r="J61" s="6">
        <v>13.886699999999999</v>
      </c>
      <c r="K61" s="6">
        <v>13.8208</v>
      </c>
      <c r="L61" s="5">
        <v>4.851</v>
      </c>
      <c r="M61" s="5">
        <v>6.59E-2</v>
      </c>
      <c r="N61" s="5">
        <v>4.7850999999999999</v>
      </c>
      <c r="O61" s="9">
        <v>98.6</v>
      </c>
      <c r="P61" s="5">
        <v>0.45</v>
      </c>
      <c r="Q61" s="5">
        <v>2.8</v>
      </c>
      <c r="R61" s="5"/>
      <c r="S61" t="str">
        <f t="shared" si="0"/>
        <v>Winter_2_G_C</v>
      </c>
    </row>
    <row r="62" spans="1:19" x14ac:dyDescent="0.25">
      <c r="A62" s="5" t="s">
        <v>28</v>
      </c>
      <c r="B62" s="6">
        <v>2</v>
      </c>
      <c r="C62" s="7">
        <v>44781</v>
      </c>
      <c r="D62" s="6" t="s">
        <v>18</v>
      </c>
      <c r="E62" s="6" t="s">
        <v>19</v>
      </c>
      <c r="F62" s="8">
        <v>103</v>
      </c>
      <c r="G62" s="6" t="s">
        <v>27</v>
      </c>
      <c r="H62" s="6">
        <v>13</v>
      </c>
      <c r="I62" s="5">
        <v>31.617999999999999</v>
      </c>
      <c r="J62" s="6">
        <v>14.8551</v>
      </c>
      <c r="K62" s="6">
        <v>13.872299999999999</v>
      </c>
      <c r="L62" s="5">
        <v>17.745699999999999</v>
      </c>
      <c r="M62" s="5">
        <v>0.98280000000000001</v>
      </c>
      <c r="N62" s="5">
        <v>16.762899999999998</v>
      </c>
      <c r="O62" s="9">
        <v>94.5</v>
      </c>
      <c r="P62" s="5">
        <v>1.44</v>
      </c>
      <c r="Q62" s="5">
        <v>9</v>
      </c>
      <c r="R62" s="5"/>
      <c r="S62" t="str">
        <f t="shared" si="0"/>
        <v>Winter_2_C_A</v>
      </c>
    </row>
    <row r="63" spans="1:19" x14ac:dyDescent="0.25">
      <c r="A63" s="5" t="s">
        <v>28</v>
      </c>
      <c r="B63" s="6">
        <v>2</v>
      </c>
      <c r="C63" s="7">
        <v>44781</v>
      </c>
      <c r="D63" s="6" t="s">
        <v>18</v>
      </c>
      <c r="E63" s="6" t="s">
        <v>21</v>
      </c>
      <c r="F63" s="8">
        <v>104</v>
      </c>
      <c r="G63" s="6" t="s">
        <v>27</v>
      </c>
      <c r="H63" s="6">
        <v>12.9</v>
      </c>
      <c r="I63" s="5">
        <v>32.512700000000002</v>
      </c>
      <c r="J63" s="6">
        <v>14.7972</v>
      </c>
      <c r="K63" s="6">
        <v>13.8354</v>
      </c>
      <c r="L63" s="5">
        <v>18.677299999999999</v>
      </c>
      <c r="M63" s="5">
        <v>0.96179999999999999</v>
      </c>
      <c r="N63" s="5">
        <v>17.715499999999999</v>
      </c>
      <c r="O63" s="9">
        <v>94.9</v>
      </c>
      <c r="P63" s="5">
        <v>1.35</v>
      </c>
      <c r="Q63" s="5">
        <v>8.4</v>
      </c>
      <c r="R63" s="5"/>
      <c r="S63" t="str">
        <f t="shared" si="0"/>
        <v>Winter_2_C_B</v>
      </c>
    </row>
    <row r="64" spans="1:19" x14ac:dyDescent="0.25">
      <c r="A64" s="5" t="s">
        <v>28</v>
      </c>
      <c r="B64" s="6">
        <v>2</v>
      </c>
      <c r="C64" s="7">
        <v>44781</v>
      </c>
      <c r="D64" s="6" t="s">
        <v>18</v>
      </c>
      <c r="E64" s="6" t="s">
        <v>18</v>
      </c>
      <c r="F64" s="8">
        <v>105</v>
      </c>
      <c r="G64" s="6" t="s">
        <v>27</v>
      </c>
      <c r="H64" s="6">
        <v>13.1</v>
      </c>
      <c r="I64" s="5">
        <v>28.595199999999998</v>
      </c>
      <c r="J64" s="6">
        <v>14.648099999999999</v>
      </c>
      <c r="K64" s="6">
        <v>13.7643</v>
      </c>
      <c r="L64" s="5">
        <v>14.8309</v>
      </c>
      <c r="M64" s="5">
        <v>0.88380000000000003</v>
      </c>
      <c r="N64" s="5">
        <v>13.947100000000001</v>
      </c>
      <c r="O64" s="9">
        <v>94</v>
      </c>
      <c r="P64" s="5">
        <v>1.78</v>
      </c>
      <c r="Q64" s="5">
        <v>11.1</v>
      </c>
      <c r="R64" s="5"/>
      <c r="S64" t="str">
        <f t="shared" si="0"/>
        <v>Winter_2_C_C</v>
      </c>
    </row>
    <row r="65" spans="1:19" x14ac:dyDescent="0.25">
      <c r="A65" s="5" t="s">
        <v>28</v>
      </c>
      <c r="B65" s="6">
        <v>2</v>
      </c>
      <c r="C65" s="7">
        <v>44781</v>
      </c>
      <c r="D65" s="6" t="s">
        <v>22</v>
      </c>
      <c r="E65" s="6" t="s">
        <v>19</v>
      </c>
      <c r="F65" s="8">
        <v>106</v>
      </c>
      <c r="G65" s="6" t="s">
        <v>27</v>
      </c>
      <c r="H65" s="6">
        <v>13.1</v>
      </c>
      <c r="I65" s="5">
        <v>37.096800000000002</v>
      </c>
      <c r="J65" s="6">
        <v>15.513</v>
      </c>
      <c r="K65" s="6">
        <v>14.0189</v>
      </c>
      <c r="L65" s="5">
        <v>23.0779</v>
      </c>
      <c r="M65" s="5">
        <v>1.4941</v>
      </c>
      <c r="N65" s="5">
        <v>21.5838</v>
      </c>
      <c r="O65" s="9">
        <v>93.5</v>
      </c>
      <c r="P65" s="5">
        <v>1.59</v>
      </c>
      <c r="Q65" s="5">
        <v>9.9</v>
      </c>
      <c r="R65" s="5"/>
      <c r="S65" t="str">
        <f t="shared" si="0"/>
        <v>Winter_2_G_A</v>
      </c>
    </row>
    <row r="66" spans="1:19" x14ac:dyDescent="0.25">
      <c r="A66" s="5" t="s">
        <v>28</v>
      </c>
      <c r="B66" s="6">
        <v>2</v>
      </c>
      <c r="C66" s="7">
        <v>44781</v>
      </c>
      <c r="D66" s="6" t="s">
        <v>22</v>
      </c>
      <c r="E66" s="6" t="s">
        <v>21</v>
      </c>
      <c r="F66" s="8">
        <v>107</v>
      </c>
      <c r="G66" s="6" t="s">
        <v>27</v>
      </c>
      <c r="H66" s="6">
        <v>12.8</v>
      </c>
      <c r="I66" s="5">
        <v>31.4345</v>
      </c>
      <c r="J66" s="6">
        <v>14.9513</v>
      </c>
      <c r="K66" s="6">
        <v>13.709300000000001</v>
      </c>
      <c r="L66" s="5">
        <v>17.725200000000001</v>
      </c>
      <c r="M66" s="5">
        <v>1.242</v>
      </c>
      <c r="N66" s="5">
        <v>16.4832</v>
      </c>
      <c r="O66" s="9">
        <v>93</v>
      </c>
      <c r="P66" s="5">
        <v>1.69</v>
      </c>
      <c r="Q66" s="5">
        <v>10.6</v>
      </c>
      <c r="R66" s="5"/>
      <c r="S66" t="str">
        <f t="shared" si="0"/>
        <v>Winter_2_G_B</v>
      </c>
    </row>
    <row r="67" spans="1:19" x14ac:dyDescent="0.25">
      <c r="A67" s="5" t="s">
        <v>28</v>
      </c>
      <c r="B67" s="6">
        <v>2</v>
      </c>
      <c r="C67" s="7">
        <v>44781</v>
      </c>
      <c r="D67" s="6" t="s">
        <v>22</v>
      </c>
      <c r="E67" s="6" t="s">
        <v>18</v>
      </c>
      <c r="F67" s="8">
        <v>108</v>
      </c>
      <c r="G67" s="6" t="s">
        <v>27</v>
      </c>
      <c r="H67" s="6">
        <v>13</v>
      </c>
      <c r="I67" s="5">
        <v>34.729999999999997</v>
      </c>
      <c r="J67" s="6">
        <v>15.039300000000001</v>
      </c>
      <c r="K67" s="6">
        <v>13.907</v>
      </c>
      <c r="L67" s="5">
        <v>20.823</v>
      </c>
      <c r="M67" s="5">
        <v>1.1323000000000001</v>
      </c>
      <c r="N67" s="5">
        <v>19.6907</v>
      </c>
      <c r="O67" s="9">
        <v>94.6</v>
      </c>
      <c r="P67" s="5">
        <v>1.63</v>
      </c>
      <c r="Q67" s="5">
        <v>10.199999999999999</v>
      </c>
      <c r="R67" s="5"/>
      <c r="S67" t="str">
        <f t="shared" ref="S67:S73" si="1">CONCATENATE(A67,"_",B67,"_",D67,"_",E67)</f>
        <v>Winter_2_G_C</v>
      </c>
    </row>
    <row r="68" spans="1:19" x14ac:dyDescent="0.25">
      <c r="A68" s="5" t="s">
        <v>28</v>
      </c>
      <c r="B68" s="6">
        <v>2</v>
      </c>
      <c r="C68" s="7">
        <v>44803</v>
      </c>
      <c r="D68" s="6" t="s">
        <v>18</v>
      </c>
      <c r="E68" s="6" t="s">
        <v>19</v>
      </c>
      <c r="F68" s="8">
        <v>109</v>
      </c>
      <c r="G68" s="6" t="s">
        <v>27</v>
      </c>
      <c r="H68" s="6">
        <v>13</v>
      </c>
      <c r="I68" s="5">
        <v>34.741900000000001</v>
      </c>
      <c r="J68" s="6">
        <v>15.587</v>
      </c>
      <c r="K68" s="6">
        <v>14.1234</v>
      </c>
      <c r="L68" s="5">
        <v>20.618500000000001</v>
      </c>
      <c r="M68" s="5">
        <v>1.4636</v>
      </c>
      <c r="N68" s="5">
        <v>19.154900000000001</v>
      </c>
      <c r="O68" s="9">
        <v>92.9</v>
      </c>
      <c r="P68" s="5">
        <v>1.39</v>
      </c>
      <c r="Q68" s="5">
        <v>8.6999999999999993</v>
      </c>
      <c r="R68" s="5"/>
      <c r="S68" t="str">
        <f t="shared" si="1"/>
        <v>Winter_2_C_A</v>
      </c>
    </row>
    <row r="69" spans="1:19" x14ac:dyDescent="0.25">
      <c r="A69" s="5" t="s">
        <v>28</v>
      </c>
      <c r="B69" s="6">
        <v>2</v>
      </c>
      <c r="C69" s="7">
        <v>44803</v>
      </c>
      <c r="D69" s="6" t="s">
        <v>18</v>
      </c>
      <c r="E69" s="6" t="s">
        <v>21</v>
      </c>
      <c r="F69" s="8">
        <v>110</v>
      </c>
      <c r="G69" s="6" t="s">
        <v>27</v>
      </c>
      <c r="H69" s="6">
        <v>12.9</v>
      </c>
      <c r="I69" s="5">
        <v>44.504800000000003</v>
      </c>
      <c r="J69" s="6">
        <v>16.019400000000001</v>
      </c>
      <c r="K69" s="6">
        <v>14.101800000000001</v>
      </c>
      <c r="L69" s="5">
        <v>30.402999999999999</v>
      </c>
      <c r="M69" s="5">
        <v>1.9176</v>
      </c>
      <c r="N69" s="5">
        <v>28.485399999999998</v>
      </c>
      <c r="O69" s="9">
        <v>93.7</v>
      </c>
      <c r="P69" s="5">
        <v>1.55</v>
      </c>
      <c r="Q69" s="5">
        <v>9.6999999999999993</v>
      </c>
      <c r="R69" s="5"/>
      <c r="S69" t="str">
        <f t="shared" si="1"/>
        <v>Winter_2_C_B</v>
      </c>
    </row>
    <row r="70" spans="1:19" x14ac:dyDescent="0.25">
      <c r="A70" s="5" t="s">
        <v>28</v>
      </c>
      <c r="B70" s="6">
        <v>2</v>
      </c>
      <c r="C70" s="7">
        <v>44803</v>
      </c>
      <c r="D70" s="6" t="s">
        <v>18</v>
      </c>
      <c r="E70" s="6" t="s">
        <v>18</v>
      </c>
      <c r="F70" s="8">
        <v>111</v>
      </c>
      <c r="G70" s="6" t="s">
        <v>27</v>
      </c>
      <c r="H70" s="6">
        <v>13</v>
      </c>
      <c r="I70" s="5">
        <v>52.855899999999998</v>
      </c>
      <c r="J70" s="6">
        <v>15.615600000000001</v>
      </c>
      <c r="K70" s="6">
        <v>14.221299999999999</v>
      </c>
      <c r="L70" s="5">
        <v>38.634599999999999</v>
      </c>
      <c r="M70" s="5">
        <v>1.3943000000000001</v>
      </c>
      <c r="N70" s="5">
        <v>37.240299999999998</v>
      </c>
      <c r="O70" s="9">
        <v>96.4</v>
      </c>
      <c r="P70" s="5">
        <v>1.02</v>
      </c>
      <c r="Q70" s="5">
        <v>6.4</v>
      </c>
      <c r="R70" s="5"/>
      <c r="S70" t="str">
        <f t="shared" si="1"/>
        <v>Winter_2_C_C</v>
      </c>
    </row>
    <row r="71" spans="1:19" x14ac:dyDescent="0.25">
      <c r="A71" s="5" t="s">
        <v>28</v>
      </c>
      <c r="B71" s="6">
        <v>2</v>
      </c>
      <c r="C71" s="7">
        <v>44803</v>
      </c>
      <c r="D71" s="6" t="s">
        <v>22</v>
      </c>
      <c r="E71" s="6" t="s">
        <v>19</v>
      </c>
      <c r="F71" s="8">
        <v>112</v>
      </c>
      <c r="G71" s="6" t="s">
        <v>27</v>
      </c>
      <c r="H71" s="6">
        <v>13</v>
      </c>
      <c r="I71" s="5">
        <v>40.5976</v>
      </c>
      <c r="J71" s="6">
        <v>15.6106</v>
      </c>
      <c r="K71" s="6">
        <v>14.1738</v>
      </c>
      <c r="L71" s="5">
        <v>26.4238</v>
      </c>
      <c r="M71" s="5">
        <v>1.4368000000000001</v>
      </c>
      <c r="N71" s="5">
        <v>24.986999999999998</v>
      </c>
      <c r="O71" s="9">
        <v>94.6</v>
      </c>
      <c r="P71" s="5">
        <v>1.44</v>
      </c>
      <c r="Q71" s="5">
        <v>9</v>
      </c>
      <c r="R71" s="5"/>
      <c r="S71" t="str">
        <f t="shared" si="1"/>
        <v>Winter_2_G_A</v>
      </c>
    </row>
    <row r="72" spans="1:19" x14ac:dyDescent="0.25">
      <c r="A72" s="5" t="s">
        <v>28</v>
      </c>
      <c r="B72" s="6">
        <v>2</v>
      </c>
      <c r="C72" s="7">
        <v>44803</v>
      </c>
      <c r="D72" s="6" t="s">
        <v>22</v>
      </c>
      <c r="E72" s="6" t="s">
        <v>21</v>
      </c>
      <c r="F72" s="8">
        <v>113</v>
      </c>
      <c r="G72" s="6" t="s">
        <v>27</v>
      </c>
      <c r="H72" s="6">
        <v>12.8</v>
      </c>
      <c r="I72" s="5">
        <v>39.931100000000001</v>
      </c>
      <c r="J72" s="6">
        <v>15.432399999999999</v>
      </c>
      <c r="K72" s="6">
        <v>14.060700000000001</v>
      </c>
      <c r="L72" s="5">
        <v>25.8704</v>
      </c>
      <c r="M72" s="5">
        <v>1.3716999999999999</v>
      </c>
      <c r="N72" s="5">
        <v>24.498699999999999</v>
      </c>
      <c r="O72" s="9">
        <v>94.7</v>
      </c>
      <c r="P72" s="5">
        <v>1.54</v>
      </c>
      <c r="Q72" s="5">
        <v>9.6</v>
      </c>
      <c r="R72" s="5"/>
      <c r="S72" t="str">
        <f t="shared" si="1"/>
        <v>Winter_2_G_B</v>
      </c>
    </row>
    <row r="73" spans="1:19" x14ac:dyDescent="0.25">
      <c r="A73" s="5" t="s">
        <v>28</v>
      </c>
      <c r="B73" s="6">
        <v>2</v>
      </c>
      <c r="C73" s="7">
        <v>44803</v>
      </c>
      <c r="D73" s="6" t="s">
        <v>22</v>
      </c>
      <c r="E73" s="6" t="s">
        <v>18</v>
      </c>
      <c r="F73" s="8">
        <v>114</v>
      </c>
      <c r="G73" s="6" t="s">
        <v>27</v>
      </c>
      <c r="H73" s="6">
        <v>13</v>
      </c>
      <c r="I73" s="5">
        <v>37.567399999999999</v>
      </c>
      <c r="J73" s="6">
        <v>15.6563</v>
      </c>
      <c r="K73" s="6">
        <v>14.364800000000001</v>
      </c>
      <c r="L73" s="5">
        <v>23.2026</v>
      </c>
      <c r="M73" s="5">
        <v>1.2915000000000001</v>
      </c>
      <c r="N73" s="5">
        <v>21.911100000000001</v>
      </c>
      <c r="O73" s="9">
        <v>94.4</v>
      </c>
      <c r="P73" s="5">
        <v>1.46</v>
      </c>
      <c r="Q73" s="5">
        <v>9.1</v>
      </c>
      <c r="R73" s="5"/>
      <c r="S73" t="str">
        <f t="shared" si="1"/>
        <v>Winter_2_G_C</v>
      </c>
    </row>
    <row r="74" spans="1:19" x14ac:dyDescent="0.25">
      <c r="A74" s="5"/>
      <c r="B74" s="6"/>
      <c r="C74" s="6"/>
      <c r="D74" s="6"/>
      <c r="E74" s="6"/>
      <c r="F74" s="10"/>
      <c r="G74" s="6"/>
      <c r="H74" s="6"/>
      <c r="I74" s="5"/>
      <c r="J74" s="5"/>
      <c r="K74" s="5"/>
      <c r="L74" s="5"/>
      <c r="M74" s="5"/>
      <c r="N74" s="5"/>
      <c r="O74" s="5"/>
      <c r="P74" s="5"/>
      <c r="Q74" s="5"/>
      <c r="R74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lmk xmlns="de106d1a-8bb7-4f5c-a311-1cdcd19c2f29" xsi:nil="true"/>
    <lcf76f155ced4ddcb4097134ff3c332f xmlns="de106d1a-8bb7-4f5c-a311-1cdcd19c2f29">
      <Terms xmlns="http://schemas.microsoft.com/office/infopath/2007/PartnerControls"/>
    </lcf76f155ced4ddcb4097134ff3c332f>
    <TaxCatchAll xmlns="1eaf255a-6d0a-4e64-b9e2-96ad16efe47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936DE9A5EE24418E40F3BA2F22C3B5" ma:contentTypeVersion="20" ma:contentTypeDescription="Create a new document." ma:contentTypeScope="" ma:versionID="a59c693324163aff0f4727d3a9240aa1">
  <xsd:schema xmlns:xsd="http://www.w3.org/2001/XMLSchema" xmlns:xs="http://www.w3.org/2001/XMLSchema" xmlns:p="http://schemas.microsoft.com/office/2006/metadata/properties" xmlns:ns2="de106d1a-8bb7-4f5c-a311-1cdcd19c2f29" xmlns:ns3="1eaf255a-6d0a-4e64-b9e2-96ad16efe479" targetNamespace="http://schemas.microsoft.com/office/2006/metadata/properties" ma:root="true" ma:fieldsID="ef8794a4f28629ed681f8bd00ad2c3c9" ns2:_="" ns3:_="">
    <xsd:import namespace="de106d1a-8bb7-4f5c-a311-1cdcd19c2f29"/>
    <xsd:import namespace="1eaf255a-6d0a-4e64-b9e2-96ad16efe4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plmk" minOccurs="0"/>
                <xsd:element ref="ns2:MediaServiceDateTaken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06d1a-8bb7-4f5c-a311-1cdcd19c2f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plmk" ma:index="12" nillable="true" ma:displayName="Text" ma:internalName="plmk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3a901c6-6db3-41aa-b982-22f35efe4b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af255a-6d0a-4e64-b9e2-96ad16efe47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d5abbb0-465b-4fc7-800d-756be7018577}" ma:internalName="TaxCatchAll" ma:showField="CatchAllData" ma:web="1eaf255a-6d0a-4e64-b9e2-96ad16efe4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A0D596-CE70-4329-9F54-DA8367589DB2}">
  <ds:schemaRefs>
    <ds:schemaRef ds:uri="http://schemas.microsoft.com/office/2006/metadata/properties"/>
    <ds:schemaRef ds:uri="http://schemas.microsoft.com/office/infopath/2007/PartnerControls"/>
    <ds:schemaRef ds:uri="de106d1a-8bb7-4f5c-a311-1cdcd19c2f29"/>
    <ds:schemaRef ds:uri="1eaf255a-6d0a-4e64-b9e2-96ad16efe479"/>
  </ds:schemaRefs>
</ds:datastoreItem>
</file>

<file path=customXml/itemProps2.xml><?xml version="1.0" encoding="utf-8"?>
<ds:datastoreItem xmlns:ds="http://schemas.openxmlformats.org/officeDocument/2006/customXml" ds:itemID="{FCC9356C-BAA1-4E8D-B8A0-8D34BB65E5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106d1a-8bb7-4f5c-a311-1cdcd19c2f29"/>
    <ds:schemaRef ds:uri="1eaf255a-6d0a-4e64-b9e2-96ad16efe4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5F230E-99EB-4379-A518-CF0B98C77BD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Grant Hopkins</dc:creator>
  <cp:keywords/>
  <dc:description/>
  <cp:lastModifiedBy>Lauren Fletcher</cp:lastModifiedBy>
  <cp:revision/>
  <dcterms:created xsi:type="dcterms:W3CDTF">2022-10-24T21:52:32Z</dcterms:created>
  <dcterms:modified xsi:type="dcterms:W3CDTF">2024-09-11T23:14:51Z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0x01010061936DE9A5EE24418E40F3BA2F22C3B5</vt:lpwstr>
  </property>
  <property fmtid="{D5CDD505-2E9C-101B-9397-08002B2CF9AE}" pid="3" name="MediaServiceImageTags">
    <vt:lpwstr/>
  </property>
</Properties>
</file>