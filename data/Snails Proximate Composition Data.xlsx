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wthron99.sharepoint.com/sites/BiosecurityToolboxEndeavourprogramme/Shared Documents/General/RA2 - PROTECT/RA1.2.1 Antifouling/2020_21/Biocontrol/Biocontrol diet and sustenance/data_analyses/data/"/>
    </mc:Choice>
  </mc:AlternateContent>
  <xr:revisionPtr revIDLastSave="192" documentId="13_ncr:1_{10A0BDCD-DF3B-4FBC-8771-182E4CFB75BE}" xr6:coauthVersionLast="47" xr6:coauthVersionMax="47" xr10:uidLastSave="{C53D87C2-8361-4907-8A95-8427DDBFEF39}"/>
  <bookViews>
    <workbookView minimized="1" xWindow="-24600" yWindow="855" windowWidth="21600" windowHeight="11385" activeTab="2" xr2:uid="{6295EC0B-ADC5-426E-AC25-9E6458D17B52}"/>
  </bookViews>
  <sheets>
    <sheet name="Protein" sheetId="1" r:id="rId1"/>
    <sheet name="Lipid" sheetId="2" r:id="rId2"/>
    <sheet name="Ash, Moisture &amp; TOM" sheetId="3" r:id="rId3"/>
    <sheet name="Carbs" sheetId="4" r:id="rId4"/>
    <sheet name="All" sheetId="5" r:id="rId5"/>
    <sheet name="SnailStats" sheetId="6" r:id="rId6"/>
    <sheet name="Metadata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" i="4" l="1"/>
  <c r="Q33" i="3"/>
  <c r="Q34" i="3"/>
  <c r="Q32" i="3"/>
  <c r="Q28" i="3"/>
  <c r="S33" i="3"/>
  <c r="P33" i="3"/>
  <c r="O33" i="3"/>
  <c r="L6" i="4"/>
  <c r="K59" i="1"/>
  <c r="U6" i="1" s="1"/>
  <c r="T4" i="3"/>
  <c r="S4" i="3"/>
  <c r="R4" i="3"/>
  <c r="M4" i="1"/>
  <c r="L4" i="1"/>
  <c r="K4" i="1"/>
  <c r="P4" i="2"/>
  <c r="N4" i="1"/>
  <c r="L5" i="4"/>
  <c r="L4" i="4"/>
  <c r="AA7" i="3"/>
  <c r="AA6" i="3"/>
  <c r="AA5" i="3"/>
  <c r="X7" i="3"/>
  <c r="X6" i="3"/>
  <c r="X5" i="3"/>
  <c r="Y7" i="2"/>
  <c r="Y5" i="2"/>
  <c r="W7" i="2"/>
  <c r="W6" i="2"/>
  <c r="W5" i="2"/>
  <c r="T7" i="2"/>
  <c r="T6" i="2"/>
  <c r="T5" i="2"/>
  <c r="U7" i="1"/>
  <c r="U5" i="1"/>
  <c r="T5" i="1"/>
  <c r="W5" i="1"/>
  <c r="T7" i="1"/>
  <c r="T6" i="1"/>
  <c r="S5" i="1"/>
  <c r="L94" i="4"/>
  <c r="L35" i="4"/>
  <c r="R7" i="1"/>
  <c r="R6" i="1"/>
  <c r="R5" i="1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4" i="4"/>
  <c r="L39" i="4"/>
  <c r="L40" i="4"/>
  <c r="L41" i="4"/>
  <c r="L42" i="4"/>
  <c r="L43" i="4"/>
  <c r="L47" i="4"/>
  <c r="L48" i="4"/>
  <c r="L49" i="4"/>
  <c r="L50" i="4"/>
  <c r="L51" i="4"/>
  <c r="L55" i="4"/>
  <c r="L56" i="4"/>
  <c r="L57" i="4"/>
  <c r="L58" i="4"/>
  <c r="L59" i="4"/>
  <c r="L62" i="4"/>
  <c r="L63" i="4"/>
  <c r="L64" i="4"/>
  <c r="L65" i="4"/>
  <c r="L66" i="4"/>
  <c r="L69" i="4"/>
  <c r="L70" i="4"/>
  <c r="L71" i="4"/>
  <c r="L72" i="4"/>
  <c r="L73" i="4"/>
  <c r="L77" i="4"/>
  <c r="L78" i="4"/>
  <c r="L79" i="4"/>
  <c r="L80" i="4"/>
  <c r="L81" i="4"/>
  <c r="L85" i="4"/>
  <c r="L86" i="4"/>
  <c r="L87" i="4"/>
  <c r="L88" i="4"/>
  <c r="L89" i="4"/>
  <c r="L93" i="4"/>
  <c r="L95" i="4"/>
  <c r="L96" i="4"/>
  <c r="L97" i="4"/>
  <c r="N12" i="1"/>
  <c r="N13" i="1"/>
  <c r="N15" i="1"/>
  <c r="N24" i="1"/>
  <c r="N25" i="1"/>
  <c r="N27" i="1"/>
  <c r="N48" i="1"/>
  <c r="N49" i="1"/>
  <c r="N51" i="1"/>
  <c r="N63" i="1"/>
  <c r="N72" i="1"/>
  <c r="N73" i="1"/>
  <c r="N87" i="1"/>
  <c r="N97" i="1"/>
  <c r="M10" i="1"/>
  <c r="M11" i="1"/>
  <c r="M23" i="1"/>
  <c r="M35" i="1"/>
  <c r="M47" i="1"/>
  <c r="M49" i="1"/>
  <c r="M58" i="1"/>
  <c r="M70" i="1"/>
  <c r="M71" i="1"/>
  <c r="M72" i="1"/>
  <c r="M73" i="1"/>
  <c r="M94" i="1"/>
  <c r="M95" i="1"/>
  <c r="M97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9" i="1"/>
  <c r="K40" i="1"/>
  <c r="K41" i="1"/>
  <c r="K42" i="1"/>
  <c r="K43" i="1"/>
  <c r="K47" i="1"/>
  <c r="K48" i="1"/>
  <c r="K49" i="1"/>
  <c r="K50" i="1"/>
  <c r="K51" i="1"/>
  <c r="K55" i="1"/>
  <c r="K56" i="1"/>
  <c r="K57" i="1"/>
  <c r="K58" i="1"/>
  <c r="K62" i="1"/>
  <c r="K63" i="1"/>
  <c r="K64" i="1"/>
  <c r="K65" i="1"/>
  <c r="K66" i="1"/>
  <c r="K69" i="1"/>
  <c r="K70" i="1"/>
  <c r="K71" i="1"/>
  <c r="K72" i="1"/>
  <c r="K73" i="1"/>
  <c r="K77" i="1"/>
  <c r="K78" i="1"/>
  <c r="K79" i="1"/>
  <c r="K80" i="1"/>
  <c r="K81" i="1"/>
  <c r="K85" i="1"/>
  <c r="K86" i="1"/>
  <c r="K87" i="1"/>
  <c r="K88" i="1"/>
  <c r="K89" i="1"/>
  <c r="K93" i="1"/>
  <c r="K94" i="1"/>
  <c r="K95" i="1"/>
  <c r="K96" i="1"/>
  <c r="K97" i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4" i="2"/>
  <c r="N4" i="2"/>
  <c r="L78" i="1"/>
  <c r="N78" i="1" s="1"/>
  <c r="L79" i="1"/>
  <c r="N79" i="1" s="1"/>
  <c r="L80" i="1"/>
  <c r="N80" i="1" s="1"/>
  <c r="L81" i="1"/>
  <c r="N81" i="1" s="1"/>
  <c r="L85" i="1"/>
  <c r="M85" i="1" s="1"/>
  <c r="L86" i="1"/>
  <c r="M86" i="1" s="1"/>
  <c r="L87" i="1"/>
  <c r="M87" i="1" s="1"/>
  <c r="L88" i="1"/>
  <c r="N88" i="1" s="1"/>
  <c r="L89" i="1"/>
  <c r="N89" i="1" s="1"/>
  <c r="L93" i="1"/>
  <c r="N93" i="1" s="1"/>
  <c r="L94" i="1"/>
  <c r="N94" i="1" s="1"/>
  <c r="L95" i="1"/>
  <c r="N95" i="1" s="1"/>
  <c r="L96" i="1"/>
  <c r="N96" i="1" s="1"/>
  <c r="L97" i="1"/>
  <c r="L77" i="1"/>
  <c r="N77" i="1" s="1"/>
  <c r="L56" i="1"/>
  <c r="N56" i="1" s="1"/>
  <c r="L57" i="1"/>
  <c r="N57" i="1" s="1"/>
  <c r="L58" i="1"/>
  <c r="N58" i="1" s="1"/>
  <c r="L59" i="1"/>
  <c r="N59" i="1" s="1"/>
  <c r="L62" i="1"/>
  <c r="M62" i="1" s="1"/>
  <c r="L63" i="1"/>
  <c r="M63" i="1" s="1"/>
  <c r="L64" i="1"/>
  <c r="N64" i="1" s="1"/>
  <c r="L65" i="1"/>
  <c r="N65" i="1" s="1"/>
  <c r="L66" i="1"/>
  <c r="N66" i="1" s="1"/>
  <c r="L69" i="1"/>
  <c r="N69" i="1" s="1"/>
  <c r="L70" i="1"/>
  <c r="N70" i="1" s="1"/>
  <c r="L71" i="1"/>
  <c r="N71" i="1" s="1"/>
  <c r="L72" i="1"/>
  <c r="L73" i="1"/>
  <c r="L55" i="1"/>
  <c r="N55" i="1" s="1"/>
  <c r="L32" i="1"/>
  <c r="N32" i="1" s="1"/>
  <c r="L33" i="1"/>
  <c r="N33" i="1" s="1"/>
  <c r="L34" i="1"/>
  <c r="N34" i="1" s="1"/>
  <c r="L35" i="1"/>
  <c r="N35" i="1" s="1"/>
  <c r="L39" i="1"/>
  <c r="M39" i="1" s="1"/>
  <c r="L40" i="1"/>
  <c r="N40" i="1" s="1"/>
  <c r="L41" i="1"/>
  <c r="N41" i="1" s="1"/>
  <c r="L42" i="1"/>
  <c r="N42" i="1" s="1"/>
  <c r="L43" i="1"/>
  <c r="N43" i="1" s="1"/>
  <c r="L47" i="1"/>
  <c r="N47" i="1" s="1"/>
  <c r="L48" i="1"/>
  <c r="M48" i="1" s="1"/>
  <c r="L49" i="1"/>
  <c r="L50" i="1"/>
  <c r="M50" i="1" s="1"/>
  <c r="L51" i="1"/>
  <c r="M51" i="1" s="1"/>
  <c r="L31" i="1"/>
  <c r="N31" i="1" s="1"/>
  <c r="L23" i="1"/>
  <c r="N23" i="1" s="1"/>
  <c r="L24" i="1"/>
  <c r="M24" i="1" s="1"/>
  <c r="L25" i="1"/>
  <c r="M25" i="1" s="1"/>
  <c r="L26" i="1"/>
  <c r="M26" i="1" s="1"/>
  <c r="L27" i="1"/>
  <c r="M27" i="1" s="1"/>
  <c r="L28" i="1"/>
  <c r="N28" i="1" s="1"/>
  <c r="L29" i="1"/>
  <c r="N29" i="1" s="1"/>
  <c r="L30" i="1"/>
  <c r="N30" i="1" s="1"/>
  <c r="L22" i="1"/>
  <c r="N22" i="1" s="1"/>
  <c r="L14" i="1"/>
  <c r="M14" i="1" s="1"/>
  <c r="L15" i="1"/>
  <c r="M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13" i="1"/>
  <c r="M13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M12" i="1" s="1"/>
  <c r="N78" i="2"/>
  <c r="N79" i="2"/>
  <c r="N80" i="2"/>
  <c r="N81" i="2"/>
  <c r="N85" i="2"/>
  <c r="N86" i="2"/>
  <c r="N87" i="2"/>
  <c r="N88" i="2"/>
  <c r="N89" i="2"/>
  <c r="N93" i="2"/>
  <c r="N95" i="2"/>
  <c r="N96" i="2"/>
  <c r="N97" i="2"/>
  <c r="N98" i="2"/>
  <c r="N77" i="2"/>
  <c r="N56" i="2"/>
  <c r="N57" i="2"/>
  <c r="N58" i="2"/>
  <c r="N59" i="2"/>
  <c r="N62" i="2"/>
  <c r="N63" i="2"/>
  <c r="N64" i="2"/>
  <c r="N65" i="2"/>
  <c r="N66" i="2"/>
  <c r="N69" i="2"/>
  <c r="N70" i="2"/>
  <c r="N71" i="2"/>
  <c r="N72" i="2"/>
  <c r="N73" i="2"/>
  <c r="N55" i="2"/>
  <c r="N32" i="2"/>
  <c r="N33" i="2"/>
  <c r="N34" i="2"/>
  <c r="N39" i="2"/>
  <c r="N40" i="2"/>
  <c r="N41" i="2"/>
  <c r="N42" i="2"/>
  <c r="N43" i="2"/>
  <c r="N47" i="2"/>
  <c r="N48" i="2"/>
  <c r="N49" i="2"/>
  <c r="N50" i="2"/>
  <c r="N51" i="2"/>
  <c r="N31" i="2"/>
  <c r="N14" i="2"/>
  <c r="N15" i="2"/>
  <c r="N16" i="2"/>
  <c r="N17" i="2"/>
  <c r="N18" i="2"/>
  <c r="N19" i="2"/>
  <c r="N20" i="2"/>
  <c r="N21" i="2"/>
  <c r="N13" i="2"/>
  <c r="N5" i="2"/>
  <c r="N6" i="2"/>
  <c r="N7" i="2"/>
  <c r="N8" i="2"/>
  <c r="N9" i="2"/>
  <c r="N10" i="2"/>
  <c r="N11" i="2"/>
  <c r="N12" i="2"/>
  <c r="N22" i="2"/>
  <c r="N23" i="2"/>
  <c r="N24" i="2"/>
  <c r="N25" i="2"/>
  <c r="N26" i="2"/>
  <c r="N27" i="2"/>
  <c r="N28" i="2"/>
  <c r="N29" i="2"/>
  <c r="N30" i="2"/>
  <c r="Q97" i="3"/>
  <c r="P97" i="3"/>
  <c r="O97" i="3"/>
  <c r="Q96" i="3"/>
  <c r="P96" i="3"/>
  <c r="O96" i="3"/>
  <c r="R96" i="3" s="1"/>
  <c r="Q95" i="3"/>
  <c r="S95" i="3" s="1"/>
  <c r="P95" i="3"/>
  <c r="O95" i="3"/>
  <c r="Q94" i="3"/>
  <c r="P94" i="3"/>
  <c r="O94" i="3"/>
  <c r="Q93" i="3"/>
  <c r="P93" i="3"/>
  <c r="O93" i="3"/>
  <c r="Q89" i="3"/>
  <c r="P89" i="3"/>
  <c r="O89" i="3"/>
  <c r="Q88" i="3"/>
  <c r="P88" i="3"/>
  <c r="O88" i="3"/>
  <c r="Q87" i="3"/>
  <c r="P87" i="3"/>
  <c r="O87" i="3"/>
  <c r="Q86" i="3"/>
  <c r="P86" i="3"/>
  <c r="T86" i="3" s="1"/>
  <c r="O86" i="3"/>
  <c r="Q85" i="3"/>
  <c r="P85" i="3"/>
  <c r="O85" i="3"/>
  <c r="R85" i="3" s="1"/>
  <c r="Q81" i="3"/>
  <c r="P81" i="3"/>
  <c r="O81" i="3"/>
  <c r="Q80" i="3"/>
  <c r="P80" i="3"/>
  <c r="O80" i="3"/>
  <c r="Q79" i="3"/>
  <c r="P79" i="3"/>
  <c r="T79" i="3" s="1"/>
  <c r="O79" i="3"/>
  <c r="Q78" i="3"/>
  <c r="P78" i="3"/>
  <c r="O78" i="3"/>
  <c r="R78" i="3" s="1"/>
  <c r="Q77" i="3"/>
  <c r="P77" i="3"/>
  <c r="O77" i="3"/>
  <c r="Q73" i="3"/>
  <c r="P73" i="3"/>
  <c r="O73" i="3"/>
  <c r="Q72" i="3"/>
  <c r="P72" i="3"/>
  <c r="O72" i="3"/>
  <c r="Q71" i="3"/>
  <c r="P71" i="3"/>
  <c r="O71" i="3"/>
  <c r="R71" i="3" s="1"/>
  <c r="Q70" i="3"/>
  <c r="P70" i="3"/>
  <c r="O70" i="3"/>
  <c r="Q69" i="3"/>
  <c r="P69" i="3"/>
  <c r="O69" i="3"/>
  <c r="Q66" i="3"/>
  <c r="P66" i="3"/>
  <c r="T66" i="3" s="1"/>
  <c r="O66" i="3"/>
  <c r="R66" i="3" s="1"/>
  <c r="Q65" i="3"/>
  <c r="P65" i="3"/>
  <c r="O65" i="3"/>
  <c r="R65" i="3" s="1"/>
  <c r="Q64" i="3"/>
  <c r="P64" i="3"/>
  <c r="O64" i="3"/>
  <c r="Q63" i="3"/>
  <c r="P63" i="3"/>
  <c r="O63" i="3"/>
  <c r="Q62" i="3"/>
  <c r="P62" i="3"/>
  <c r="T62" i="3" s="1"/>
  <c r="O62" i="3"/>
  <c r="R62" i="3" s="1"/>
  <c r="Q59" i="3"/>
  <c r="P59" i="3"/>
  <c r="O59" i="3"/>
  <c r="R59" i="3" s="1"/>
  <c r="Q58" i="3"/>
  <c r="P58" i="3"/>
  <c r="O58" i="3"/>
  <c r="Q57" i="3"/>
  <c r="P57" i="3"/>
  <c r="O57" i="3"/>
  <c r="Q56" i="3"/>
  <c r="P56" i="3"/>
  <c r="O56" i="3"/>
  <c r="Q55" i="3"/>
  <c r="P55" i="3"/>
  <c r="O55" i="3"/>
  <c r="Q51" i="3"/>
  <c r="P51" i="3"/>
  <c r="O51" i="3"/>
  <c r="Q50" i="3"/>
  <c r="P50" i="3"/>
  <c r="O50" i="3"/>
  <c r="Q49" i="3"/>
  <c r="P49" i="3"/>
  <c r="T49" i="3" s="1"/>
  <c r="O49" i="3"/>
  <c r="R49" i="3" s="1"/>
  <c r="Q48" i="3"/>
  <c r="P48" i="3"/>
  <c r="O48" i="3"/>
  <c r="Q47" i="3"/>
  <c r="P47" i="3"/>
  <c r="O47" i="3"/>
  <c r="Q43" i="3"/>
  <c r="P43" i="3"/>
  <c r="O43" i="3"/>
  <c r="Q42" i="3"/>
  <c r="P42" i="3"/>
  <c r="T42" i="3" s="1"/>
  <c r="O42" i="3"/>
  <c r="R42" i="3" s="1"/>
  <c r="Q41" i="3"/>
  <c r="P41" i="3"/>
  <c r="O41" i="3"/>
  <c r="R41" i="3" s="1"/>
  <c r="Q40" i="3"/>
  <c r="S40" i="3" s="1"/>
  <c r="P40" i="3"/>
  <c r="O40" i="3"/>
  <c r="Q39" i="3"/>
  <c r="P39" i="3"/>
  <c r="O39" i="3"/>
  <c r="Q35" i="3"/>
  <c r="P35" i="3"/>
  <c r="O35" i="3"/>
  <c r="R35" i="3" s="1"/>
  <c r="P34" i="3"/>
  <c r="O34" i="3"/>
  <c r="R34" i="3" s="1"/>
  <c r="P32" i="3"/>
  <c r="O32" i="3"/>
  <c r="Q31" i="3"/>
  <c r="P31" i="3"/>
  <c r="T31" i="3" s="1"/>
  <c r="O31" i="3"/>
  <c r="R31" i="3" s="1"/>
  <c r="Q30" i="3"/>
  <c r="P30" i="3"/>
  <c r="O30" i="3"/>
  <c r="R30" i="3" s="1"/>
  <c r="Q29" i="3"/>
  <c r="P29" i="3"/>
  <c r="O29" i="3"/>
  <c r="P28" i="3"/>
  <c r="O28" i="3"/>
  <c r="Q27" i="3"/>
  <c r="P27" i="3"/>
  <c r="T27" i="3" s="1"/>
  <c r="O27" i="3"/>
  <c r="R27" i="3" s="1"/>
  <c r="Q26" i="3"/>
  <c r="P26" i="3"/>
  <c r="O26" i="3"/>
  <c r="R26" i="3" s="1"/>
  <c r="Q25" i="3"/>
  <c r="P25" i="3"/>
  <c r="O25" i="3"/>
  <c r="Q24" i="3"/>
  <c r="P24" i="3"/>
  <c r="O24" i="3"/>
  <c r="Q23" i="3"/>
  <c r="P23" i="3"/>
  <c r="O23" i="3"/>
  <c r="R23" i="3" s="1"/>
  <c r="Q22" i="3"/>
  <c r="P22" i="3"/>
  <c r="O22" i="3"/>
  <c r="R22" i="3" s="1"/>
  <c r="Q21" i="3"/>
  <c r="P21" i="3"/>
  <c r="O21" i="3"/>
  <c r="Q20" i="3"/>
  <c r="P20" i="3"/>
  <c r="O20" i="3"/>
  <c r="Q19" i="3"/>
  <c r="P19" i="3"/>
  <c r="O19" i="3"/>
  <c r="R19" i="3" s="1"/>
  <c r="Q18" i="3"/>
  <c r="P18" i="3"/>
  <c r="O18" i="3"/>
  <c r="R18" i="3" s="1"/>
  <c r="Q17" i="3"/>
  <c r="P17" i="3"/>
  <c r="O17" i="3"/>
  <c r="Q16" i="3"/>
  <c r="P16" i="3"/>
  <c r="O16" i="3"/>
  <c r="Q15" i="3"/>
  <c r="P15" i="3"/>
  <c r="T15" i="3" s="1"/>
  <c r="O15" i="3"/>
  <c r="R15" i="3" s="1"/>
  <c r="Q14" i="3"/>
  <c r="P14" i="3"/>
  <c r="O14" i="3"/>
  <c r="R14" i="3" s="1"/>
  <c r="Q13" i="3"/>
  <c r="P13" i="3"/>
  <c r="O13" i="3"/>
  <c r="Q12" i="3"/>
  <c r="P12" i="3"/>
  <c r="O12" i="3"/>
  <c r="Q11" i="3"/>
  <c r="P11" i="3"/>
  <c r="O11" i="3"/>
  <c r="R11" i="3" s="1"/>
  <c r="Q10" i="3"/>
  <c r="P10" i="3"/>
  <c r="O10" i="3"/>
  <c r="R10" i="3" s="1"/>
  <c r="Q9" i="3"/>
  <c r="P9" i="3"/>
  <c r="O9" i="3"/>
  <c r="Q8" i="3"/>
  <c r="P8" i="3"/>
  <c r="O8" i="3"/>
  <c r="Q7" i="3"/>
  <c r="P7" i="3"/>
  <c r="O7" i="3"/>
  <c r="R7" i="3" s="1"/>
  <c r="Q6" i="3"/>
  <c r="P6" i="3"/>
  <c r="O6" i="3"/>
  <c r="R6" i="3" s="1"/>
  <c r="Q5" i="3"/>
  <c r="P5" i="3"/>
  <c r="O5" i="3"/>
  <c r="Q4" i="3"/>
  <c r="P4" i="3"/>
  <c r="O4" i="3"/>
  <c r="M81" i="2"/>
  <c r="M30" i="2"/>
  <c r="M17" i="2"/>
  <c r="M8" i="2"/>
  <c r="L95" i="2"/>
  <c r="M95" i="2" s="1"/>
  <c r="L70" i="2"/>
  <c r="M70" i="2"/>
  <c r="L69" i="2"/>
  <c r="M69" i="2"/>
  <c r="M43" i="2"/>
  <c r="L5" i="2"/>
  <c r="M5" i="2" s="1"/>
  <c r="L6" i="2"/>
  <c r="M6" i="2" s="1"/>
  <c r="L7" i="2"/>
  <c r="M7" i="2" s="1"/>
  <c r="L8" i="2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L31" i="2"/>
  <c r="M31" i="2" s="1"/>
  <c r="L32" i="2"/>
  <c r="M32" i="2" s="1"/>
  <c r="L33" i="2"/>
  <c r="M33" i="2" s="1"/>
  <c r="L34" i="2"/>
  <c r="M34" i="2" s="1"/>
  <c r="L39" i="2"/>
  <c r="M39" i="2" s="1"/>
  <c r="L40" i="2"/>
  <c r="M40" i="2" s="1"/>
  <c r="L41" i="2"/>
  <c r="M41" i="2" s="1"/>
  <c r="L42" i="2"/>
  <c r="M42" i="2" s="1"/>
  <c r="L43" i="2"/>
  <c r="L47" i="2"/>
  <c r="M47" i="2" s="1"/>
  <c r="L48" i="2"/>
  <c r="M48" i="2" s="1"/>
  <c r="L49" i="2"/>
  <c r="M49" i="2" s="1"/>
  <c r="L50" i="2"/>
  <c r="M50" i="2" s="1"/>
  <c r="L51" i="2"/>
  <c r="M51" i="2" s="1"/>
  <c r="L55" i="2"/>
  <c r="M55" i="2" s="1"/>
  <c r="L56" i="2"/>
  <c r="M56" i="2" s="1"/>
  <c r="L57" i="2"/>
  <c r="M57" i="2" s="1"/>
  <c r="L58" i="2"/>
  <c r="M58" i="2" s="1"/>
  <c r="L59" i="2"/>
  <c r="M59" i="2" s="1"/>
  <c r="L62" i="2"/>
  <c r="M62" i="2" s="1"/>
  <c r="L63" i="2"/>
  <c r="M63" i="2" s="1"/>
  <c r="L64" i="2"/>
  <c r="M64" i="2" s="1"/>
  <c r="L65" i="2"/>
  <c r="M65" i="2" s="1"/>
  <c r="L66" i="2"/>
  <c r="M66" i="2" s="1"/>
  <c r="L71" i="2"/>
  <c r="M71" i="2" s="1"/>
  <c r="L72" i="2"/>
  <c r="M72" i="2" s="1"/>
  <c r="L73" i="2"/>
  <c r="M73" i="2" s="1"/>
  <c r="L77" i="2"/>
  <c r="M77" i="2" s="1"/>
  <c r="L78" i="2"/>
  <c r="M78" i="2" s="1"/>
  <c r="L79" i="2"/>
  <c r="M79" i="2" s="1"/>
  <c r="L80" i="2"/>
  <c r="M80" i="2" s="1"/>
  <c r="L81" i="2"/>
  <c r="L85" i="2"/>
  <c r="M85" i="2" s="1"/>
  <c r="L86" i="2"/>
  <c r="M86" i="2" s="1"/>
  <c r="L87" i="2"/>
  <c r="M87" i="2" s="1"/>
  <c r="L88" i="2"/>
  <c r="M88" i="2" s="1"/>
  <c r="L89" i="2"/>
  <c r="M89" i="2" s="1"/>
  <c r="L93" i="2"/>
  <c r="M93" i="2" s="1"/>
  <c r="L96" i="2"/>
  <c r="M96" i="2" s="1"/>
  <c r="L97" i="2"/>
  <c r="M97" i="2" s="1"/>
  <c r="L98" i="2"/>
  <c r="M98" i="2" s="1"/>
  <c r="L4" i="2"/>
  <c r="M4" i="2" s="1"/>
  <c r="V6" i="1" l="1"/>
  <c r="W6" i="1" s="1"/>
  <c r="M59" i="1"/>
  <c r="R56" i="3"/>
  <c r="R72" i="3"/>
  <c r="R79" i="3"/>
  <c r="R86" i="3"/>
  <c r="R93" i="3"/>
  <c r="R97" i="3"/>
  <c r="T64" i="3"/>
  <c r="R8" i="3"/>
  <c r="Y5" i="3" s="1"/>
  <c r="Z5" i="3" s="1"/>
  <c r="R12" i="3"/>
  <c r="R16" i="3"/>
  <c r="R20" i="3"/>
  <c r="R24" i="3"/>
  <c r="R28" i="3"/>
  <c r="R32" i="3"/>
  <c r="R39" i="3"/>
  <c r="R43" i="3"/>
  <c r="R50" i="3"/>
  <c r="R57" i="3"/>
  <c r="R63" i="3"/>
  <c r="R69" i="3"/>
  <c r="R73" i="3"/>
  <c r="R80" i="3"/>
  <c r="R87" i="3"/>
  <c r="R94" i="3"/>
  <c r="R5" i="3"/>
  <c r="R9" i="3"/>
  <c r="R13" i="3"/>
  <c r="R17" i="3"/>
  <c r="R21" i="3"/>
  <c r="R25" i="3"/>
  <c r="Y7" i="3" s="1"/>
  <c r="Z7" i="3" s="1"/>
  <c r="R29" i="3"/>
  <c r="R33" i="3"/>
  <c r="R40" i="3"/>
  <c r="R47" i="3"/>
  <c r="R51" i="3"/>
  <c r="R58" i="3"/>
  <c r="R64" i="3"/>
  <c r="R70" i="3"/>
  <c r="R77" i="3"/>
  <c r="R81" i="3"/>
  <c r="R88" i="3"/>
  <c r="R95" i="3"/>
  <c r="S5" i="3"/>
  <c r="T9" i="3"/>
  <c r="T13" i="3"/>
  <c r="S17" i="3"/>
  <c r="T21" i="3"/>
  <c r="S25" i="3"/>
  <c r="S29" i="3"/>
  <c r="T33" i="3"/>
  <c r="T40" i="3"/>
  <c r="S47" i="3"/>
  <c r="T51" i="3"/>
  <c r="S58" i="3"/>
  <c r="S64" i="3"/>
  <c r="T70" i="3"/>
  <c r="T77" i="3"/>
  <c r="S81" i="3"/>
  <c r="T88" i="3"/>
  <c r="T95" i="3"/>
  <c r="T18" i="3"/>
  <c r="T65" i="3"/>
  <c r="T71" i="3"/>
  <c r="V7" i="1"/>
  <c r="N85" i="1"/>
  <c r="N62" i="1"/>
  <c r="V5" i="1"/>
  <c r="M34" i="1"/>
  <c r="S7" i="1"/>
  <c r="M22" i="1"/>
  <c r="T58" i="3"/>
  <c r="S13" i="3"/>
  <c r="S77" i="3"/>
  <c r="T29" i="3"/>
  <c r="T6" i="3"/>
  <c r="T10" i="3"/>
  <c r="T22" i="3"/>
  <c r="T30" i="3"/>
  <c r="T34" i="3"/>
  <c r="T55" i="3"/>
  <c r="T89" i="3"/>
  <c r="T8" i="3"/>
  <c r="T12" i="3"/>
  <c r="T16" i="3"/>
  <c r="T20" i="3"/>
  <c r="T24" i="3"/>
  <c r="T28" i="3"/>
  <c r="T32" i="3"/>
  <c r="T39" i="3"/>
  <c r="T43" i="3"/>
  <c r="T50" i="3"/>
  <c r="T57" i="3"/>
  <c r="T63" i="3"/>
  <c r="T69" i="3"/>
  <c r="T73" i="3"/>
  <c r="T80" i="3"/>
  <c r="T87" i="3"/>
  <c r="T94" i="3"/>
  <c r="R48" i="3"/>
  <c r="R55" i="3"/>
  <c r="R89" i="3"/>
  <c r="T25" i="3"/>
  <c r="T14" i="3"/>
  <c r="T26" i="3"/>
  <c r="T41" i="3"/>
  <c r="T48" i="3"/>
  <c r="T59" i="3"/>
  <c r="T78" i="3"/>
  <c r="T85" i="3"/>
  <c r="T96" i="3"/>
  <c r="S7" i="3"/>
  <c r="T11" i="3"/>
  <c r="S15" i="3"/>
  <c r="S19" i="3"/>
  <c r="S23" i="3"/>
  <c r="S27" i="3"/>
  <c r="S31" i="3"/>
  <c r="T35" i="3"/>
  <c r="S42" i="3"/>
  <c r="S49" i="3"/>
  <c r="S56" i="3"/>
  <c r="S62" i="3"/>
  <c r="S66" i="3"/>
  <c r="S72" i="3"/>
  <c r="S79" i="3"/>
  <c r="S86" i="3"/>
  <c r="T93" i="3"/>
  <c r="S97" i="3"/>
  <c r="S8" i="3"/>
  <c r="S12" i="3"/>
  <c r="S16" i="3"/>
  <c r="S20" i="3"/>
  <c r="S24" i="3"/>
  <c r="S28" i="3"/>
  <c r="S32" i="3"/>
  <c r="S39" i="3"/>
  <c r="S43" i="3"/>
  <c r="S50" i="3"/>
  <c r="S57" i="3"/>
  <c r="S63" i="3"/>
  <c r="S69" i="3"/>
  <c r="S73" i="3"/>
  <c r="S80" i="3"/>
  <c r="S87" i="3"/>
  <c r="S94" i="3"/>
  <c r="S9" i="3"/>
  <c r="S21" i="3"/>
  <c r="S51" i="3"/>
  <c r="S70" i="3"/>
  <c r="S88" i="3"/>
  <c r="T17" i="3"/>
  <c r="S6" i="3"/>
  <c r="S10" i="3"/>
  <c r="S14" i="3"/>
  <c r="S18" i="3"/>
  <c r="S22" i="3"/>
  <c r="S26" i="3"/>
  <c r="S30" i="3"/>
  <c r="S34" i="3"/>
  <c r="S41" i="3"/>
  <c r="S48" i="3"/>
  <c r="S55" i="3"/>
  <c r="S59" i="3"/>
  <c r="S65" i="3"/>
  <c r="S71" i="3"/>
  <c r="S78" i="3"/>
  <c r="S85" i="3"/>
  <c r="S89" i="3"/>
  <c r="S96" i="3"/>
  <c r="T81" i="3"/>
  <c r="T47" i="3"/>
  <c r="N39" i="1"/>
  <c r="M96" i="1"/>
  <c r="N86" i="1"/>
  <c r="N50" i="1"/>
  <c r="N26" i="1"/>
  <c r="N14" i="1"/>
  <c r="M93" i="1"/>
  <c r="M81" i="1"/>
  <c r="M69" i="1"/>
  <c r="M57" i="1"/>
  <c r="M33" i="1"/>
  <c r="M21" i="1"/>
  <c r="M9" i="1"/>
  <c r="M80" i="1"/>
  <c r="M56" i="1"/>
  <c r="M32" i="1"/>
  <c r="M20" i="1"/>
  <c r="M8" i="1"/>
  <c r="M79" i="1"/>
  <c r="M55" i="1"/>
  <c r="M43" i="1"/>
  <c r="M31" i="1"/>
  <c r="M19" i="1"/>
  <c r="M7" i="1"/>
  <c r="M78" i="1"/>
  <c r="M66" i="1"/>
  <c r="M42" i="1"/>
  <c r="M30" i="1"/>
  <c r="M18" i="1"/>
  <c r="M6" i="1"/>
  <c r="M89" i="1"/>
  <c r="M77" i="1"/>
  <c r="M65" i="1"/>
  <c r="M41" i="1"/>
  <c r="M29" i="1"/>
  <c r="M17" i="1"/>
  <c r="M88" i="1"/>
  <c r="M64" i="1"/>
  <c r="M40" i="1"/>
  <c r="M28" i="1"/>
  <c r="M16" i="1"/>
  <c r="Y6" i="3"/>
  <c r="Z6" i="3" s="1"/>
  <c r="T72" i="3"/>
  <c r="T56" i="3"/>
  <c r="S35" i="3"/>
  <c r="T97" i="3"/>
  <c r="T23" i="3"/>
  <c r="T5" i="3"/>
  <c r="S93" i="3"/>
  <c r="S11" i="3"/>
  <c r="T7" i="3"/>
  <c r="T19" i="3"/>
  <c r="U7" i="2"/>
  <c r="V7" i="2" s="1"/>
  <c r="U5" i="2"/>
  <c r="V5" i="2" s="1"/>
  <c r="U6" i="2"/>
  <c r="V6" i="2" s="1"/>
  <c r="X5" i="2"/>
  <c r="X6" i="2"/>
  <c r="Y6" i="2" s="1"/>
  <c r="X7" i="2"/>
  <c r="Y19" i="3" l="1"/>
  <c r="Z19" i="3" s="1"/>
  <c r="AB6" i="3"/>
  <c r="AC6" i="3" s="1"/>
  <c r="AB5" i="3"/>
  <c r="AC5" i="3" s="1"/>
  <c r="Y14" i="3"/>
  <c r="Z14" i="3" s="1"/>
  <c r="AB7" i="3"/>
  <c r="AC7" i="3" s="1"/>
  <c r="AB19" i="3"/>
  <c r="AC19" i="3" s="1"/>
  <c r="X14" i="3"/>
  <c r="AA20" i="3"/>
  <c r="AA12" i="3"/>
  <c r="AA14" i="3"/>
  <c r="AB20" i="3"/>
  <c r="AC20" i="3" s="1"/>
  <c r="X19" i="3"/>
  <c r="AA21" i="3"/>
  <c r="X13" i="3"/>
  <c r="AA19" i="3"/>
  <c r="X20" i="3"/>
  <c r="Y13" i="3"/>
  <c r="Z13" i="3" s="1"/>
  <c r="Y12" i="3"/>
  <c r="Z12" i="3" s="1"/>
  <c r="AA13" i="3"/>
  <c r="AB13" i="3"/>
  <c r="AC13" i="3" s="1"/>
  <c r="AB14" i="3"/>
  <c r="AC14" i="3" s="1"/>
  <c r="X12" i="3"/>
  <c r="S6" i="1"/>
  <c r="W7" i="1"/>
  <c r="X21" i="3"/>
  <c r="Y21" i="3"/>
  <c r="Z21" i="3" s="1"/>
  <c r="AB21" i="3"/>
  <c r="AC21" i="3" s="1"/>
  <c r="Y20" i="3"/>
  <c r="Z20" i="3" s="1"/>
  <c r="AB12" i="3"/>
  <c r="AC1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tc={882C85FE-F580-46A1-9FF0-9C94F159AAED}</author>
  </authors>
  <commentList>
    <comment ref="I59" authorId="0" shapeId="0" xr:uid="{882C85FE-F580-46A1-9FF0-9C94F159AAE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was originally 1065.8 - have decided it is a data entry error. Adjusted to 106.8 as assuming someone pushed 5 and 6 at same time</t>
      </text>
    </comment>
  </commentList>
</comments>
</file>

<file path=xl/sharedStrings.xml><?xml version="1.0" encoding="utf-8"?>
<sst xmlns="http://schemas.openxmlformats.org/spreadsheetml/2006/main" count="1989" uniqueCount="462">
  <si>
    <t>Experiment Phase</t>
  </si>
  <si>
    <t>Sample #</t>
  </si>
  <si>
    <t>Snail/Sample ID</t>
  </si>
  <si>
    <t>Sampling</t>
  </si>
  <si>
    <t>Treatment</t>
  </si>
  <si>
    <t>Tank</t>
  </si>
  <si>
    <t>Replcaite</t>
  </si>
  <si>
    <t>Snail weight (g?)</t>
  </si>
  <si>
    <t>T0_N_1_1</t>
  </si>
  <si>
    <t>Baseline</t>
  </si>
  <si>
    <t>Nil</t>
  </si>
  <si>
    <t>1_T0.N.1.1_Prot</t>
  </si>
  <si>
    <t>T0_N_1_2</t>
  </si>
  <si>
    <t>2_T0.N.1.2_Prot</t>
  </si>
  <si>
    <t>T0_N_1_3</t>
  </si>
  <si>
    <t>3_T0.N.1.3_Prot</t>
  </si>
  <si>
    <t>T0_N_4_1</t>
  </si>
  <si>
    <t>4_T0.N.4.1_Prot</t>
  </si>
  <si>
    <t>T0_N_4_2</t>
  </si>
  <si>
    <t>5_T0.N.4.2_Prot</t>
  </si>
  <si>
    <t>T0_N_4_3</t>
  </si>
  <si>
    <t>6_T0.N.4.3_Prot</t>
  </si>
  <si>
    <t>T0_N_7_1</t>
  </si>
  <si>
    <t>7_T0.N.7.1_Prot</t>
  </si>
  <si>
    <t>T0_N_7_2</t>
  </si>
  <si>
    <t>8_T0.N.7.2_Prot</t>
  </si>
  <si>
    <t>T0_N_7_3</t>
  </si>
  <si>
    <t>9_T0.N.7.3_Prot</t>
  </si>
  <si>
    <t>T0_13_3_1</t>
  </si>
  <si>
    <t>10_T0.13.3.1_Prot</t>
  </si>
  <si>
    <t>T0_13_3_2</t>
  </si>
  <si>
    <t>11_T0.13.3.2_Prot</t>
  </si>
  <si>
    <t>T0_13_3_3</t>
  </si>
  <si>
    <t>12_T0.13.3.3_Prot</t>
  </si>
  <si>
    <t>T0_13_5_1</t>
  </si>
  <si>
    <t>13_T0.13.5.1_Prot</t>
  </si>
  <si>
    <t>T0_13_5_2</t>
  </si>
  <si>
    <t>14_T0.13.5.2_Prot</t>
  </si>
  <si>
    <t>T0_13_5_3</t>
  </si>
  <si>
    <t>15_T0.13.5.3_Prot</t>
  </si>
  <si>
    <t>T0_13_2_1</t>
  </si>
  <si>
    <t>16_T0.13.2.1_Prot</t>
  </si>
  <si>
    <t>T0_13_2_2</t>
  </si>
  <si>
    <t>17_T0.13.2.2_Prot</t>
  </si>
  <si>
    <t>T0_13_2_3</t>
  </si>
  <si>
    <t>18_T0.13.2.3_Prot</t>
  </si>
  <si>
    <t>T0_54_9_1</t>
  </si>
  <si>
    <t>19_T0.54.9.1_Prot</t>
  </si>
  <si>
    <t>T0_54_9_2</t>
  </si>
  <si>
    <t>20_T0.54.9.2_Prot</t>
  </si>
  <si>
    <t>T0_54_9_3</t>
  </si>
  <si>
    <t>21_T0.54.9.3_Prot</t>
  </si>
  <si>
    <t>T0_54_6_1</t>
  </si>
  <si>
    <t>22_T0.54.6.1_Prot</t>
  </si>
  <si>
    <t>T0_54_6_2</t>
  </si>
  <si>
    <t>23_T0.54.6.2_Prot</t>
  </si>
  <si>
    <t>T0_54_6_3</t>
  </si>
  <si>
    <t>24_T0.54.6.3_Prot</t>
  </si>
  <si>
    <t>T0_54_8_1</t>
  </si>
  <si>
    <t>25_T0.54.8.1_Prot</t>
  </si>
  <si>
    <t>T0_54_8_2</t>
  </si>
  <si>
    <t>26_T0.54.8.2_Prot</t>
  </si>
  <si>
    <t>T0_54_8_3</t>
  </si>
  <si>
    <t>27_T0.54.8.3_Prot</t>
  </si>
  <si>
    <t>T1_N_1_1</t>
  </si>
  <si>
    <t>Final</t>
  </si>
  <si>
    <t>28_T1.N.1.1_Prot</t>
  </si>
  <si>
    <t>T1_N_1_2</t>
  </si>
  <si>
    <t>29_T1.N.1.2_Prot</t>
  </si>
  <si>
    <t>T1_N_1_3</t>
  </si>
  <si>
    <t>30_T1.N.1.3_Prot</t>
  </si>
  <si>
    <t>T1_N_1_4</t>
  </si>
  <si>
    <t>31_T1.N.1.4_Prot</t>
  </si>
  <si>
    <t>T1_N_1_5</t>
  </si>
  <si>
    <t>32_T1.N.1.5_Prot</t>
  </si>
  <si>
    <t>T1_N_1_6</t>
  </si>
  <si>
    <t>33_T1.N.1.6_Prot</t>
  </si>
  <si>
    <t>T1_N_1_7</t>
  </si>
  <si>
    <t>34_T1.N.1.7_Prot</t>
  </si>
  <si>
    <t>T1_N_1_8</t>
  </si>
  <si>
    <t>35_T1.N.1.8_Prot</t>
  </si>
  <si>
    <t>T1_N_4_1</t>
  </si>
  <si>
    <t>36_T1.N.4.1_Prot</t>
  </si>
  <si>
    <t>T1_N_4_2</t>
  </si>
  <si>
    <t>37_T1.N.4.2_Prot</t>
  </si>
  <si>
    <t>T1_N_4_3</t>
  </si>
  <si>
    <t>38_T1.N.4.3_Prot</t>
  </si>
  <si>
    <t>T1_N_4_4</t>
  </si>
  <si>
    <t>39_T1.N.4.4_Prot</t>
  </si>
  <si>
    <t>T1_N_4_5</t>
  </si>
  <si>
    <t>40_T1.N.4.5_Prot</t>
  </si>
  <si>
    <t>T1_N_4_6</t>
  </si>
  <si>
    <t>41_T1.N.4.6_Prot</t>
  </si>
  <si>
    <t>T1_N_4_7</t>
  </si>
  <si>
    <t>42_T1.N.4.7_Prot</t>
  </si>
  <si>
    <t>T1_N_4_8</t>
  </si>
  <si>
    <t>43_T1.N.4.8_Prot</t>
  </si>
  <si>
    <t>T1_N_7_1</t>
  </si>
  <si>
    <t>44_T1.N.7.1_Prot</t>
  </si>
  <si>
    <t>T1_N_7_2</t>
  </si>
  <si>
    <t>45_T1.N.7.2_Prot</t>
  </si>
  <si>
    <t>T1_N_7_3</t>
  </si>
  <si>
    <t>46_T1.N.7.3_Prot</t>
  </si>
  <si>
    <t>T1_N_7_4</t>
  </si>
  <si>
    <t>47_T1.N.7.4_Prot</t>
  </si>
  <si>
    <t>T1_N_7_5</t>
  </si>
  <si>
    <t>48_T1.N.7.5_Prot</t>
  </si>
  <si>
    <t>T1_N_7_6</t>
  </si>
  <si>
    <t>49_T1.N.7.6_Prot</t>
  </si>
  <si>
    <t>T1_N_7_7</t>
  </si>
  <si>
    <t>50_T1.N.7.7_Prot</t>
  </si>
  <si>
    <t>T1_N_7_8</t>
  </si>
  <si>
    <t>51_T1.N.7.8_Prot</t>
  </si>
  <si>
    <t>T1_13_3_1</t>
  </si>
  <si>
    <t>52_T1.13.3.1_Prot</t>
  </si>
  <si>
    <t>T1_13_3_2</t>
  </si>
  <si>
    <t>53_T1.13.3.2_Prot</t>
  </si>
  <si>
    <t>T1_13_3_3</t>
  </si>
  <si>
    <t>54_T1.13.3.3_Prot</t>
  </si>
  <si>
    <t>T1_13_3_4</t>
  </si>
  <si>
    <t>55_T1.13.3.4_Prot</t>
  </si>
  <si>
    <t>T1_13_3_5</t>
  </si>
  <si>
    <t>56_T1.13.3.5_Prot</t>
  </si>
  <si>
    <t>T1_13_3_6</t>
  </si>
  <si>
    <t>57_T1.13.3.6_Prot</t>
  </si>
  <si>
    <t>T1_13_3_7</t>
  </si>
  <si>
    <t>58_T1.13.3.7_Prot</t>
  </si>
  <si>
    <t>T1_13_5_1</t>
  </si>
  <si>
    <t>59_T1.13.5.1_Prot</t>
  </si>
  <si>
    <t>T1_13_5_2</t>
  </si>
  <si>
    <t>60_T1.13.5.2_Prot</t>
  </si>
  <si>
    <t>T1_13_5_3</t>
  </si>
  <si>
    <t>61_T1.13.5.3_Prot</t>
  </si>
  <si>
    <t>T1_13_5_4</t>
  </si>
  <si>
    <t>62_T1.13.5.4_Prot</t>
  </si>
  <si>
    <t>T1_13_5_5</t>
  </si>
  <si>
    <t>63_T1.13.5.5_Prot</t>
  </si>
  <si>
    <t>T1_13_5_6</t>
  </si>
  <si>
    <t>64_T1.13.5.6_Prot</t>
  </si>
  <si>
    <t>T1_13_5_7</t>
  </si>
  <si>
    <t>65_T1.13.5.7_Prot</t>
  </si>
  <si>
    <t>T1_13_2_1</t>
  </si>
  <si>
    <t>66_T1.13.2.1_Prot</t>
  </si>
  <si>
    <t>T1_13_2_2</t>
  </si>
  <si>
    <t>67_T1.13.2.2_Prot</t>
  </si>
  <si>
    <t>T1_13_2_3</t>
  </si>
  <si>
    <t>68_T1.13.2.3_Prot</t>
  </si>
  <si>
    <t>T1_13_2_4</t>
  </si>
  <si>
    <t>69_T1.13.2.4_Prot</t>
  </si>
  <si>
    <t>T1_13_2_5</t>
  </si>
  <si>
    <t>70_T1.13.2.5_Prot</t>
  </si>
  <si>
    <t>T1_13_2_6</t>
  </si>
  <si>
    <t>71_T1.13.2.6_Prot</t>
  </si>
  <si>
    <t>T1_13_2_7</t>
  </si>
  <si>
    <t>72_T1.13.2.7_Prot</t>
  </si>
  <si>
    <t>T1_13_2_8</t>
  </si>
  <si>
    <t>73_T1.13.2.8_Prot</t>
  </si>
  <si>
    <t>T1_54_9_1</t>
  </si>
  <si>
    <t>74_T1.54.9.1_Prot</t>
  </si>
  <si>
    <t>T1_54_9_2</t>
  </si>
  <si>
    <t>75_T1.54.9.2_Prot</t>
  </si>
  <si>
    <t>T1_54_9_3</t>
  </si>
  <si>
    <t>76_T1.54.9.3_Prot</t>
  </si>
  <si>
    <t>T1_54_9_4</t>
  </si>
  <si>
    <t>77_T1.54.9.4_Prot</t>
  </si>
  <si>
    <t>T1_54_9_5</t>
  </si>
  <si>
    <t>78_T1.54.9.5_Prot</t>
  </si>
  <si>
    <t>T1_54_9_6</t>
  </si>
  <si>
    <t>79_T1.54.9.6_Prot</t>
  </si>
  <si>
    <t>T1_54_9_7</t>
  </si>
  <si>
    <t>80_T1.54.9.7_Prot</t>
  </si>
  <si>
    <t>T1_54_9_8</t>
  </si>
  <si>
    <t>81_T1.54.9.8_Prot</t>
  </si>
  <si>
    <t>T1_54_6_1</t>
  </si>
  <si>
    <t>82_T1.54.6.1_Prot</t>
  </si>
  <si>
    <t>T1_54_6_2</t>
  </si>
  <si>
    <t>83_T1.54.6.2_Prot</t>
  </si>
  <si>
    <t>T1_54_6_3</t>
  </si>
  <si>
    <t>84_T1.54.6.3_Prot</t>
  </si>
  <si>
    <t>T1_54_6_4</t>
  </si>
  <si>
    <t>85_T1.54.6.4_Prot</t>
  </si>
  <si>
    <t>T1_54_6_5</t>
  </si>
  <si>
    <t>86_T1.54.6.5_Prot</t>
  </si>
  <si>
    <t>T1_54_6_6</t>
  </si>
  <si>
    <t>87_T1.54.6.6_Prot</t>
  </si>
  <si>
    <t>T1_54_6_7</t>
  </si>
  <si>
    <t>88_T1.54.6.7_Prot</t>
  </si>
  <si>
    <t>T1_54_6_8</t>
  </si>
  <si>
    <t>89_T1.54.6.8_Prot</t>
  </si>
  <si>
    <t>T1_54_8_1</t>
  </si>
  <si>
    <t>90_T1.54.8.1_Prot</t>
  </si>
  <si>
    <t>T1_54_8_2</t>
  </si>
  <si>
    <t>91_T1.54.8.2_Prot</t>
  </si>
  <si>
    <t>T1_54_8_3</t>
  </si>
  <si>
    <t>92_T1.54.8.3_Prot</t>
  </si>
  <si>
    <t>T1_54_8_4</t>
  </si>
  <si>
    <t>93_T1.54.8.4_Prot</t>
  </si>
  <si>
    <t>T1_54_8_5</t>
  </si>
  <si>
    <t>94_T1.54.8.5_Prot</t>
  </si>
  <si>
    <t>T1_54_8_6</t>
  </si>
  <si>
    <t>95_T1.54.8.6_Prot</t>
  </si>
  <si>
    <t>T1_54_8_7</t>
  </si>
  <si>
    <t>96_T1.54.8.7_Prot</t>
  </si>
  <si>
    <t>T1_54_8_8</t>
  </si>
  <si>
    <t>97_T1.54.8.8_Prot</t>
  </si>
  <si>
    <t>Tube Powder ID</t>
  </si>
  <si>
    <t>Powder Weight (mg)</t>
  </si>
  <si>
    <t>Concentration (mg protein/mg FW tissue)</t>
  </si>
  <si>
    <t>Mean</t>
  </si>
  <si>
    <t>SD</t>
  </si>
  <si>
    <t>SE</t>
  </si>
  <si>
    <t>Protein concentration mg/ml</t>
  </si>
  <si>
    <t>Total Lipid Assay (target=100mg)</t>
  </si>
  <si>
    <t>Tube ID</t>
  </si>
  <si>
    <t>Weight (mg)</t>
  </si>
  <si>
    <t>1_T0.N.1.1_Lip</t>
  </si>
  <si>
    <t>2_T0.N.1.2_Lip</t>
  </si>
  <si>
    <t>3_T0.N.1.3_Lip</t>
  </si>
  <si>
    <t>4_T0.N.4.1_Lip</t>
  </si>
  <si>
    <t>5_T0.N.4.2_Lip</t>
  </si>
  <si>
    <t>6_T0.N.4.3_Lip</t>
  </si>
  <si>
    <t>7_T0.N.7.1_Lip</t>
  </si>
  <si>
    <t>8_T0.N.7.2_Lip</t>
  </si>
  <si>
    <t>9_T0.N.7.3_Lip</t>
  </si>
  <si>
    <t>10_T0.13.3.1_Lip</t>
  </si>
  <si>
    <t>11_T0.13.3.2_Lip</t>
  </si>
  <si>
    <t>12_T0.13.3.3_Lip</t>
  </si>
  <si>
    <t>13_T0.13.5.1_Lip</t>
  </si>
  <si>
    <t>14_T0.13.5.2_Lip</t>
  </si>
  <si>
    <t>15_T0.13.5.3_Lip</t>
  </si>
  <si>
    <t>16_T0.13.2.1_Lip</t>
  </si>
  <si>
    <t>17_T0.13.2.2_Lip</t>
  </si>
  <si>
    <t>18_T0.13.2.3_Lip</t>
  </si>
  <si>
    <t>19_T0.54.9.1_Lip</t>
  </si>
  <si>
    <t>20_T0.54.9.2_Lip</t>
  </si>
  <si>
    <t>21_T0.54.9.3_Lip</t>
  </si>
  <si>
    <t>22_T0.54.6.1_Lip</t>
  </si>
  <si>
    <t>23_T0.54.6.2_Lip</t>
  </si>
  <si>
    <t>24_T0.54.6.3_Lip</t>
  </si>
  <si>
    <t>25_T0.54.8.1_Lip</t>
  </si>
  <si>
    <t>26_T0.54.8.2_Lip</t>
  </si>
  <si>
    <t>27_T0.54.8.3_Lip</t>
  </si>
  <si>
    <t>28_T1.N.1.1_Lip</t>
  </si>
  <si>
    <t>29_T1.N.1.2_Lip</t>
  </si>
  <si>
    <t>30_T1.N.1.3_Lip</t>
  </si>
  <si>
    <t>31_T1.N.1.4_Lip</t>
  </si>
  <si>
    <t>32_T1.N.1.5_Lip</t>
  </si>
  <si>
    <t>33_T1.N.1.6_Lip</t>
  </si>
  <si>
    <t>34_T1.N.1.7_Lip</t>
  </si>
  <si>
    <t>35_T1.N.1.8_Lip</t>
  </si>
  <si>
    <t>36_T1.N.4.1_Lip</t>
  </si>
  <si>
    <t>37_T1.N.4.2_Lip</t>
  </si>
  <si>
    <t>38_T1.N.4.3_Lip</t>
  </si>
  <si>
    <t>39_T1.N.4.4_Lip</t>
  </si>
  <si>
    <t>40_T1.N.4.5_Lip</t>
  </si>
  <si>
    <t>41_T1.N.4.6_Lip</t>
  </si>
  <si>
    <t>42_T1.N.4.7_Lip</t>
  </si>
  <si>
    <t>43_T1.N.4.8_Lip</t>
  </si>
  <si>
    <t>44_T1.N.7.1_Lip</t>
  </si>
  <si>
    <t>45_T1.N.7.2_Lip</t>
  </si>
  <si>
    <t>46_T1.N.7.3_Lip</t>
  </si>
  <si>
    <t>47_T1.N.7.4_Lip</t>
  </si>
  <si>
    <t>48_T1.N.7.5_Lip</t>
  </si>
  <si>
    <t>49_T1.N.7.6_Lip</t>
  </si>
  <si>
    <t>50_T1.N.7.7_Lip</t>
  </si>
  <si>
    <t>51_T1.N.7.8_Lip</t>
  </si>
  <si>
    <t>52_T1.13.3.1_Lip</t>
  </si>
  <si>
    <t>53_T1.13.3.2_Lip</t>
  </si>
  <si>
    <t>54_T1.13.3.3_Lip</t>
  </si>
  <si>
    <t>55_T1.13.3.4_Lip</t>
  </si>
  <si>
    <t>56_T1.13.3.5_Lip</t>
  </si>
  <si>
    <t>57_T1.13.3.6_Lip</t>
  </si>
  <si>
    <t>58_T1.13.3.7_Lip</t>
  </si>
  <si>
    <t>59_T1.13.5.1_Lip</t>
  </si>
  <si>
    <t>60_T1.13.5.2_Lip</t>
  </si>
  <si>
    <t>61_T1.13.5.3_Lip</t>
  </si>
  <si>
    <t>62_T1.13.5.4_Lip</t>
  </si>
  <si>
    <t>63_T1.13.5.5_Lip</t>
  </si>
  <si>
    <t>64_T1.13.5.6_Lip</t>
  </si>
  <si>
    <t>65_T1.13.5.7_Lip</t>
  </si>
  <si>
    <t>66_T1.13.2.1_Lip</t>
  </si>
  <si>
    <t>67_T1.13.2.2_Lip</t>
  </si>
  <si>
    <t>68_T1.13.2.3_Lip</t>
  </si>
  <si>
    <t>69_T1.13.2.4_Lip</t>
  </si>
  <si>
    <t>70_T1.13.2.5_Lip</t>
  </si>
  <si>
    <t>71_T1.13.2.6_Lip</t>
  </si>
  <si>
    <t>72_T1.13.2.7_Lip</t>
  </si>
  <si>
    <t>73_T1.13.2.8_Lip</t>
  </si>
  <si>
    <t>74_T1.54.9.1_Lip</t>
  </si>
  <si>
    <t>75_T1.54.9.2_Lip</t>
  </si>
  <si>
    <t>76_T1.54.9.3_Lip</t>
  </si>
  <si>
    <t>77_T1.54.9.4_Lip</t>
  </si>
  <si>
    <t>78_T1.54.9.5_Lip</t>
  </si>
  <si>
    <t>79_T1.54.9.6_Lip</t>
  </si>
  <si>
    <t>80_T1.54.9.7_Lip</t>
  </si>
  <si>
    <t>81_T1.54.9.8_Lip</t>
  </si>
  <si>
    <t>82_T1.54.6.1_Lip</t>
  </si>
  <si>
    <t>83_T1.54.6.2_Lip</t>
  </si>
  <si>
    <t>84_T1.54.6.3_Lip</t>
  </si>
  <si>
    <t>85_T1.54.6.4_Lip</t>
  </si>
  <si>
    <t>86_T1.54.6.5_Lip</t>
  </si>
  <si>
    <t>87_T1.54.6.6_Lip</t>
  </si>
  <si>
    <t>88_T1.54.6.7_Lip</t>
  </si>
  <si>
    <t>89_T1.54.6.8_Lip</t>
  </si>
  <si>
    <t>90_T1.54.8.1_Lip</t>
  </si>
  <si>
    <t>91_T1.54.8.2_Lip</t>
  </si>
  <si>
    <t>92_T1.54.8.3_Lip</t>
  </si>
  <si>
    <t>93_T1.54.8.4_Lip</t>
  </si>
  <si>
    <t>94_T1.54.8.5_Lip</t>
  </si>
  <si>
    <t>95_T1.54.8.6_Lip</t>
  </si>
  <si>
    <t>96_T1.54.8.7_Lip</t>
  </si>
  <si>
    <t>97_T1.54.8.8_Lip</t>
  </si>
  <si>
    <t>Tube weight (mg)</t>
  </si>
  <si>
    <t>Tube+lipid weight (mg)</t>
  </si>
  <si>
    <t>Lipid weight (mg)</t>
  </si>
  <si>
    <t>Replicate</t>
  </si>
  <si>
    <t>glass tube broke so weight is innacurate; don't use</t>
  </si>
  <si>
    <t>sample not found, so #95 was done instead</t>
  </si>
  <si>
    <t>1_T0.N.1.1_Ash</t>
  </si>
  <si>
    <t>2_T0.N.1.2_Ash</t>
  </si>
  <si>
    <t>3_T0.N.1.3_Ash</t>
  </si>
  <si>
    <t>4_T0.N.4.1_Ash</t>
  </si>
  <si>
    <t>5_T0.N.4.2_Ash</t>
  </si>
  <si>
    <t>6_T0.N.4.3_Ash</t>
  </si>
  <si>
    <t>7_T0.N.7.1_Ash</t>
  </si>
  <si>
    <t>8_T0.N.7.2_Ash</t>
  </si>
  <si>
    <t>9_T0.N.7.3_Ash</t>
  </si>
  <si>
    <t>10_T0.13.3.1_Ash</t>
  </si>
  <si>
    <t>11_T0.13.3.2_Ash</t>
  </si>
  <si>
    <t>12_T0.13.3.3_Ash</t>
  </si>
  <si>
    <t>13_T0.13.5.1_Ash</t>
  </si>
  <si>
    <t>14_T0.13.5.2_Ash</t>
  </si>
  <si>
    <t>15_T0.13.5.3_Ash</t>
  </si>
  <si>
    <t>16_T0.13.2.1_Ash</t>
  </si>
  <si>
    <t>17_T0.13.2.2_Ash</t>
  </si>
  <si>
    <t>18_T0.13.2.3_Ash</t>
  </si>
  <si>
    <t>19_T0.54.9.1_Ash</t>
  </si>
  <si>
    <t>20_T0.54.9.2_Ash</t>
  </si>
  <si>
    <t>21_T0.54.9.3_Ash</t>
  </si>
  <si>
    <t>22_T0.54.6.1_Ash</t>
  </si>
  <si>
    <t>23_T0.54.6.2_Ash</t>
  </si>
  <si>
    <t>24_T0.54.6.3_Ash</t>
  </si>
  <si>
    <t>25_T0.54.8.1_Ash</t>
  </si>
  <si>
    <t>26_T0.54.8.2_Ash</t>
  </si>
  <si>
    <t>27_T0.54.8.3_Ash</t>
  </si>
  <si>
    <t>28_T1.N.1.1_Ash</t>
  </si>
  <si>
    <t>29_T1.N.1.2_Ash</t>
  </si>
  <si>
    <t>30_T1.N.1.3_Ash</t>
  </si>
  <si>
    <t>31_T1.N.1.4_Ash</t>
  </si>
  <si>
    <t>32_T1.N.1.5_Ash</t>
  </si>
  <si>
    <t>36_T1.N.4.1_Ash</t>
  </si>
  <si>
    <t>37_T1.N.4.2_Ash</t>
  </si>
  <si>
    <t>38_T1.N.4.3_Ash</t>
  </si>
  <si>
    <t>39_T1.N.4.4_Ash</t>
  </si>
  <si>
    <t>40_T1.N.4.5_Ash</t>
  </si>
  <si>
    <t>44_T1.N.7.1_Ash</t>
  </si>
  <si>
    <t>45_T1.N.7.2_Ash</t>
  </si>
  <si>
    <t>46_T1.N.7.3_Ash</t>
  </si>
  <si>
    <t>47_T1.N.7.4_Ash</t>
  </si>
  <si>
    <t>48_T1.N.7.5_Ash</t>
  </si>
  <si>
    <t>52_T1.13.3.1_Ash</t>
  </si>
  <si>
    <t>53_T1.13.3.2_Ash</t>
  </si>
  <si>
    <t>54_T1.13.3.3_Ash</t>
  </si>
  <si>
    <t>55_T1.13.3.4_Ash</t>
  </si>
  <si>
    <t>56_T1.13.3.5_Ash</t>
  </si>
  <si>
    <t>59_T1.13.5.1_Ash</t>
  </si>
  <si>
    <t>60_T1.13.5.2_Ash</t>
  </si>
  <si>
    <t>61_T1.13.5.3_Ash</t>
  </si>
  <si>
    <t>62_T1.13.5.4_Ash</t>
  </si>
  <si>
    <t>63_T1.13.5.5_Ash</t>
  </si>
  <si>
    <t>66_T1.13.2.1_Ash</t>
  </si>
  <si>
    <t>67_T1.13.2.2_Ash</t>
  </si>
  <si>
    <t>68_T1.13.2.3_Ash</t>
  </si>
  <si>
    <t>69_T1.13.2.4_Ash</t>
  </si>
  <si>
    <t>70_T1.13.2.5_Ash</t>
  </si>
  <si>
    <t>74_T1.54.9.1_Ash</t>
  </si>
  <si>
    <t>75_T1.54.9.2_Ash</t>
  </si>
  <si>
    <t>76_T1.54.9.3_Ash</t>
  </si>
  <si>
    <t>77_T1.54.9.4_Ash</t>
  </si>
  <si>
    <t>78_T1.54.9.5_Ash</t>
  </si>
  <si>
    <t>82_T1.54.6.1_Ash</t>
  </si>
  <si>
    <t>83_T1.54.6.2_Ash</t>
  </si>
  <si>
    <t>84_T1.54.6.3_Ash</t>
  </si>
  <si>
    <t>85_T1.54.6.4_Ash</t>
  </si>
  <si>
    <t>86_T1.54.6.5_Ash</t>
  </si>
  <si>
    <t>90_T1.54.8.1_Ash</t>
  </si>
  <si>
    <t>91_T1.54.8.2_Ash</t>
  </si>
  <si>
    <t>92_T1.54.8.3_Ash</t>
  </si>
  <si>
    <t>93_T1.54.8.4_Ash</t>
  </si>
  <si>
    <t>94_T1.54.8.5_Ash</t>
  </si>
  <si>
    <t>33_T1.N.1.6_Ash</t>
  </si>
  <si>
    <t>34_T1.N.1.7_Ash</t>
  </si>
  <si>
    <t>35_T1.N.1.8_Ash</t>
  </si>
  <si>
    <t>41_T1.N.4.6_Ash</t>
  </si>
  <si>
    <t>42_T1.N.4.7_Ash</t>
  </si>
  <si>
    <t>43_T1.N.4.8_Ash</t>
  </si>
  <si>
    <t>49_T1.N.7.6_Ash</t>
  </si>
  <si>
    <t>50_T1.N.7.7_Ash</t>
  </si>
  <si>
    <t>51_T1.N.7.8_Ash</t>
  </si>
  <si>
    <t>57_T1.13.3.6_Ash</t>
  </si>
  <si>
    <t>58_T1.13.3.7_Ash</t>
  </si>
  <si>
    <t>64_T1.13.5.6_Ash</t>
  </si>
  <si>
    <t>65_T1.13.5.7_Ash</t>
  </si>
  <si>
    <t>71_T1.13.2.6_Ash</t>
  </si>
  <si>
    <t>72_T1.13.2.7_Ash</t>
  </si>
  <si>
    <t>73_T1.13.2.8_Ash</t>
  </si>
  <si>
    <t>79_T1.54.9.6_Ash</t>
  </si>
  <si>
    <t>80_T1.54.9.7_Ash</t>
  </si>
  <si>
    <t>81_T1.54.9.8_Ash</t>
  </si>
  <si>
    <t>87_T1.54.6.6_Ash</t>
  </si>
  <si>
    <t>88_T1.54.6.7_Ash</t>
  </si>
  <si>
    <t>89_T1.54.6.8_Ash</t>
  </si>
  <si>
    <t>95_T1.54.8.6_Ash</t>
  </si>
  <si>
    <t>96_T1.54.8.7_Ash</t>
  </si>
  <si>
    <t>97_T1.54.8.8_Ash</t>
  </si>
  <si>
    <t xml:space="preserve">Ash Calculation (target=200mg) </t>
  </si>
  <si>
    <t>Boat #</t>
  </si>
  <si>
    <t>Boat weight</t>
  </si>
  <si>
    <t>Sample + boat</t>
  </si>
  <si>
    <t>Post 100°C</t>
  </si>
  <si>
    <t>Post 450° C</t>
  </si>
  <si>
    <t>Sample Wet Weight</t>
  </si>
  <si>
    <t>Sample Dry Weight</t>
  </si>
  <si>
    <t>Ashed Sample Weight</t>
  </si>
  <si>
    <t>Moisture &amp; Ash Analysis Weights (mg)</t>
  </si>
  <si>
    <t>Calculations (boat weight subtracted) (mg)</t>
  </si>
  <si>
    <t>Water Content (%)</t>
  </si>
  <si>
    <t>TOM</t>
  </si>
  <si>
    <t>Water Content</t>
  </si>
  <si>
    <t>Ash</t>
  </si>
  <si>
    <t>Lipid concentration (mg lipid/mg FW tissue)</t>
  </si>
  <si>
    <t>Estimated Dry weight (mg)</t>
  </si>
  <si>
    <t>Lipid (%) of DW</t>
  </si>
  <si>
    <t>Protein (%) of DW</t>
  </si>
  <si>
    <t>Lipid concentration (mg lipid/mg DW tissue)</t>
  </si>
  <si>
    <t>Concentration (mg protein/mg DW tissue)</t>
  </si>
  <si>
    <t>Lipid (% of DW)</t>
  </si>
  <si>
    <t>Protein (% of DW)</t>
  </si>
  <si>
    <t>Carbs (% of DW)</t>
  </si>
  <si>
    <t>TOM (% of DW)</t>
  </si>
  <si>
    <t>Ash (% of DW)</t>
  </si>
  <si>
    <t>Weight</t>
  </si>
  <si>
    <t>Rep</t>
  </si>
  <si>
    <t>NA</t>
  </si>
  <si>
    <t>Lunella oxidative stress experiment - funded under the MBIE Biosecurity Toolbox (BST 17383/04/200)</t>
  </si>
  <si>
    <t xml:space="preserve">See document in folder for experiment rationale and background </t>
  </si>
  <si>
    <t>Unique code that corresponds to the treatment_tank_rep for each snail</t>
  </si>
  <si>
    <t>Baseline sampling was of 3 snails following a 5-day acclimitisation period and prior to food exposure</t>
  </si>
  <si>
    <t>Final sampling was following 7-days full of food exposure (sampled on the 8th day)</t>
  </si>
  <si>
    <t>Food exposure snails received: Nil, 13-day old biofouling, or 54-day old biofouling</t>
  </si>
  <si>
    <t>Three tanks per food treatment</t>
  </si>
  <si>
    <t>Eight snails per tank</t>
  </si>
  <si>
    <t xml:space="preserve">Additional notes: </t>
  </si>
  <si>
    <t xml:space="preserve">Two snails were a different species at the final sampling - these were weighed so that the tank average could still be calculated </t>
  </si>
  <si>
    <t>Sample analysis:</t>
  </si>
  <si>
    <t>Option to only process 5 reps instead of 8 if we want to keep costs down?</t>
  </si>
  <si>
    <t>Densities were based on food requirements in the wild and expected biofouling biomass based on other experiment but we don't strictly have to process them all</t>
  </si>
  <si>
    <t>This would mean removing the red text samples</t>
  </si>
  <si>
    <t>SnailID</t>
  </si>
  <si>
    <t>wet weight of snail immediately prior to freezing (g)</t>
  </si>
  <si>
    <t>These snails were not frozen as wouldn't be comparable with other samples</t>
  </si>
  <si>
    <t xml:space="preserve">No data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</si>
</sst>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4" borderId="0" xfId="0" applyFill="1"/>
    <xf numFmtId="0" fontId="2" fillId="4" borderId="2" xfId="0" applyFont="1" applyFill="1" applyBorder="1" applyAlignment="1">
      <alignment horizontal="center"/>
    </xf>
    <xf numFmtId="0" fontId="2" fillId="0" borderId="0" xfId="0" applyFont="1"/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2" fillId="6" borderId="1" xfId="0" applyFont="1" applyFill="1" applyBorder="1" applyAlignment="1">
      <alignment horizontal="center"/>
    </xf>
    <xf numFmtId="0" fontId="0" fillId="6" borderId="1" xfId="0" applyFill="1" applyBorder="1"/>
    <xf numFmtId="0" fontId="2" fillId="0" borderId="0" xfId="0" applyFont="1" applyAlignment="1">
      <alignment horizontal="center"/>
    </xf>
    <xf numFmtId="0" fontId="0" fillId="0" borderId="3" xfId="0" applyBorder="1"/>
    <xf numFmtId="0" fontId="2" fillId="7" borderId="0" xfId="0" applyFont="1" applyFill="1"/>
    <xf numFmtId="0" fontId="0" fillId="7" borderId="0" xfId="0" applyFill="1"/>
    <xf numFmtId="0" fontId="2" fillId="4" borderId="0" xfId="0" applyFont="1" applyFill="1"/>
    <xf numFmtId="2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Protein!$S$5:$S$7</c:f>
                <c:numCache>
                  <c:formatCode>General</c:formatCode>
                  <c:ptCount val="3"/>
                  <c:pt idx="0">
                    <c:v>4.5612933090836156E-3</c:v>
                  </c:pt>
                  <c:pt idx="1">
                    <c:v>2.6185921978634334E-3</c:v>
                  </c:pt>
                  <c:pt idx="2">
                    <c:v>4.0301620418477296E-3</c:v>
                  </c:pt>
                </c:numCache>
              </c:numRef>
            </c:plus>
            <c:minus>
              <c:numRef>
                <c:f>Protein!$S$5:$S$7</c:f>
                <c:numCache>
                  <c:formatCode>General</c:formatCode>
                  <c:ptCount val="3"/>
                  <c:pt idx="0">
                    <c:v>4.5612933090836156E-3</c:v>
                  </c:pt>
                  <c:pt idx="1">
                    <c:v>2.6185921978634334E-3</c:v>
                  </c:pt>
                  <c:pt idx="2">
                    <c:v>4.0301620418477296E-3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Protein!$Q$5:$Q$7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Protein!$R$5:$R$7</c:f>
              <c:numCache>
                <c:formatCode>General</c:formatCode>
                <c:ptCount val="3"/>
                <c:pt idx="0">
                  <c:v>3.7678759098780198E-2</c:v>
                </c:pt>
                <c:pt idx="1">
                  <c:v>3.386823442729061E-2</c:v>
                </c:pt>
                <c:pt idx="2">
                  <c:v>3.5800222359389379E-2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7-4E0F-A16E-02007CC04B2B}"/>
            </c:ext>
          </c:extLst>
        </c:ser>
        <c:ser>
          <c:idx val="1"/>
          <c:order val="1"/>
          <c:tx>
            <c:v>Final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Protein!$V$5:$V$7</c:f>
                <c:numCache>
                  <c:formatCode>General</c:formatCode>
                  <c:ptCount val="3"/>
                  <c:pt idx="0">
                    <c:v>4.6532241786596254E-3</c:v>
                  </c:pt>
                  <c:pt idx="1">
                    <c:v>4.6326241276489176E-3</c:v>
                  </c:pt>
                  <c:pt idx="2">
                    <c:v>3.3539267490519998E-3</c:v>
                  </c:pt>
                </c:numCache>
              </c:numRef>
            </c:plus>
            <c:minus>
              <c:numRef>
                <c:f>Protein!$V$5:$V$7</c:f>
                <c:numCache>
                  <c:formatCode>General</c:formatCode>
                  <c:ptCount val="3"/>
                  <c:pt idx="0">
                    <c:v>4.6532241786596254E-3</c:v>
                  </c:pt>
                  <c:pt idx="1">
                    <c:v>4.6326241276489176E-3</c:v>
                  </c:pt>
                  <c:pt idx="2">
                    <c:v>3.3539267490519998E-3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Protein!$Q$5:$Q$7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Protein!$U$5:$U$7</c:f>
              <c:numCache>
                <c:formatCode>General</c:formatCode>
                <c:ptCount val="3"/>
                <c:pt idx="0">
                  <c:v>3.3452581631477671E-2</c:v>
                </c:pt>
                <c:pt idx="1">
                  <c:v>3.6327645374501269E-2</c:v>
                </c:pt>
                <c:pt idx="2">
                  <c:v>3.5463957696702193E-2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7-4E0F-A16E-02007CC04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27512"/>
        <c:axId val="794229312"/>
      </c:barChart>
      <c:catAx>
        <c:axId val="794227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9312"/>
        <c:crosses val="autoZero"/>
        <c:auto val="1"/>
        <c:lblAlgn val="ctr"/>
        <c:lblOffset val="100"/>
        <c:noMultiLvlLbl val="0"/>
      </c:catAx>
      <c:valAx>
        <c:axId val="794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Protein (mg/mg fresh</a:t>
                </a:r>
                <a:r>
                  <a:rPr lang="en-NZ" baseline="0"/>
                  <a:t> tissue) ± SD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Lipid!$U$5:$U$7</c:f>
                <c:numCache>
                  <c:formatCode>General</c:formatCode>
                  <c:ptCount val="3"/>
                  <c:pt idx="0">
                    <c:v>4.0238149141059399E-3</c:v>
                  </c:pt>
                  <c:pt idx="1">
                    <c:v>1.2694804186610528E-3</c:v>
                  </c:pt>
                  <c:pt idx="2">
                    <c:v>3.4565961531551662E-3</c:v>
                  </c:pt>
                </c:numCache>
              </c:numRef>
            </c:plus>
            <c:minus>
              <c:numRef>
                <c:f>Lipid!$U$5:$U$7</c:f>
                <c:numCache>
                  <c:formatCode>General</c:formatCode>
                  <c:ptCount val="3"/>
                  <c:pt idx="0">
                    <c:v>4.0238149141059399E-3</c:v>
                  </c:pt>
                  <c:pt idx="1">
                    <c:v>1.2694804186610528E-3</c:v>
                  </c:pt>
                  <c:pt idx="2">
                    <c:v>3.4565961531551662E-3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Lipid!$T$5:$T$7</c:f>
              <c:numCache>
                <c:formatCode>General</c:formatCode>
                <c:ptCount val="3"/>
                <c:pt idx="0">
                  <c:v>1.5149973106295851E-2</c:v>
                </c:pt>
                <c:pt idx="1">
                  <c:v>1.41431130709537E-2</c:v>
                </c:pt>
                <c:pt idx="2">
                  <c:v>1.5763474812920585E-2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C-43E6-916D-162F043AFE5C}"/>
            </c:ext>
          </c:extLst>
        </c:ser>
        <c:ser>
          <c:idx val="1"/>
          <c:order val="1"/>
          <c:tx>
            <c:v>Final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Lipid!$X$5:$X$7</c:f>
                <c:numCache>
                  <c:formatCode>General</c:formatCode>
                  <c:ptCount val="3"/>
                  <c:pt idx="0">
                    <c:v>1.4240819852892389E-3</c:v>
                  </c:pt>
                  <c:pt idx="1">
                    <c:v>1.923456552193017E-3</c:v>
                  </c:pt>
                  <c:pt idx="2">
                    <c:v>1.8289296338188882E-3</c:v>
                  </c:pt>
                </c:numCache>
              </c:numRef>
            </c:plus>
            <c:minus>
              <c:numRef>
                <c:f>Lipid!$X$5:$X$7</c:f>
                <c:numCache>
                  <c:formatCode>General</c:formatCode>
                  <c:ptCount val="3"/>
                  <c:pt idx="0">
                    <c:v>1.4240819852892389E-3</c:v>
                  </c:pt>
                  <c:pt idx="1">
                    <c:v>1.923456552193017E-3</c:v>
                  </c:pt>
                  <c:pt idx="2">
                    <c:v>1.8289296338188882E-3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Lipid!$W$5:$W$7</c:f>
              <c:numCache>
                <c:formatCode>General</c:formatCode>
                <c:ptCount val="3"/>
                <c:pt idx="0">
                  <c:v>1.1519520231725353E-2</c:v>
                </c:pt>
                <c:pt idx="1">
                  <c:v>1.2037867438153528E-2</c:v>
                </c:pt>
                <c:pt idx="2">
                  <c:v>1.3201477381393389E-2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EC-43E6-916D-162F043A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27512"/>
        <c:axId val="794229312"/>
      </c:barChart>
      <c:catAx>
        <c:axId val="794227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9312"/>
        <c:crosses val="autoZero"/>
        <c:auto val="1"/>
        <c:lblAlgn val="ctr"/>
        <c:lblOffset val="100"/>
        <c:noMultiLvlLbl val="0"/>
      </c:catAx>
      <c:valAx>
        <c:axId val="794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Lipid (mg/mg fresh</a:t>
                </a:r>
                <a:r>
                  <a:rPr lang="en-NZ" baseline="0"/>
                  <a:t> tissue) ± SD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'Ash, Moisture &amp; TOM'!$Y$5:$Y$7</c:f>
                <c:numCache>
                  <c:formatCode>General</c:formatCode>
                  <c:ptCount val="3"/>
                  <c:pt idx="0">
                    <c:v>2.9169230771974641</c:v>
                  </c:pt>
                  <c:pt idx="1">
                    <c:v>1.4120783575912317</c:v>
                  </c:pt>
                  <c:pt idx="2">
                    <c:v>3.0643434115995629</c:v>
                  </c:pt>
                </c:numCache>
              </c:numRef>
            </c:plus>
            <c:minus>
              <c:numRef>
                <c:f>'Ash, Moisture &amp; TOM'!$Y$5:$Y$7</c:f>
                <c:numCache>
                  <c:formatCode>General</c:formatCode>
                  <c:ptCount val="3"/>
                  <c:pt idx="0">
                    <c:v>2.9169230771974641</c:v>
                  </c:pt>
                  <c:pt idx="1">
                    <c:v>1.4120783575912317</c:v>
                  </c:pt>
                  <c:pt idx="2">
                    <c:v>3.0643434115995629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'Ash, Moisture &amp; TOM'!$X$5:$X$7</c:f>
              <c:numCache>
                <c:formatCode>General</c:formatCode>
                <c:ptCount val="3"/>
                <c:pt idx="0">
                  <c:v>75.655629865321103</c:v>
                </c:pt>
                <c:pt idx="1">
                  <c:v>78.04932091362312</c:v>
                </c:pt>
                <c:pt idx="2">
                  <c:v>75.811586328594146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5-4C0A-A1D0-5D7D818B7EBC}"/>
            </c:ext>
          </c:extLst>
        </c:ser>
        <c:ser>
          <c:idx val="1"/>
          <c:order val="1"/>
          <c:tx>
            <c:v>Final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'Ash, Moisture &amp; TOM'!$AB$5:$AB$7</c:f>
                <c:numCache>
                  <c:formatCode>General</c:formatCode>
                  <c:ptCount val="3"/>
                  <c:pt idx="0">
                    <c:v>3.2370368823810258</c:v>
                  </c:pt>
                  <c:pt idx="1">
                    <c:v>2.1730648735507545</c:v>
                  </c:pt>
                  <c:pt idx="2">
                    <c:v>3.3049439133663623</c:v>
                  </c:pt>
                </c:numCache>
              </c:numRef>
            </c:plus>
            <c:minus>
              <c:numRef>
                <c:f>'Ash, Moisture &amp; TOM'!$AB$5:$AB$7</c:f>
                <c:numCache>
                  <c:formatCode>General</c:formatCode>
                  <c:ptCount val="3"/>
                  <c:pt idx="0">
                    <c:v>3.2370368823810258</c:v>
                  </c:pt>
                  <c:pt idx="1">
                    <c:v>2.1730648735507545</c:v>
                  </c:pt>
                  <c:pt idx="2">
                    <c:v>3.3049439133663623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'Ash, Moisture &amp; TOM'!$AA$5:$AA$7</c:f>
              <c:numCache>
                <c:formatCode>General</c:formatCode>
                <c:ptCount val="3"/>
                <c:pt idx="0">
                  <c:v>79.589243966563757</c:v>
                </c:pt>
                <c:pt idx="1">
                  <c:v>79.158565025693363</c:v>
                </c:pt>
                <c:pt idx="2">
                  <c:v>76.682388698635407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15-4C0A-A1D0-5D7D818B7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27512"/>
        <c:axId val="794229312"/>
      </c:barChart>
      <c:catAx>
        <c:axId val="794227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9312"/>
        <c:crosses val="autoZero"/>
        <c:auto val="1"/>
        <c:lblAlgn val="ctr"/>
        <c:lblOffset val="100"/>
        <c:noMultiLvlLbl val="0"/>
      </c:catAx>
      <c:valAx>
        <c:axId val="794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Water</a:t>
                </a:r>
                <a:r>
                  <a:rPr lang="en-NZ" baseline="0"/>
                  <a:t> Content (%) ± SD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'Ash, Moisture &amp; TOM'!$Y$12:$Y$14</c:f>
                <c:numCache>
                  <c:formatCode>General</c:formatCode>
                  <c:ptCount val="3"/>
                  <c:pt idx="0">
                    <c:v>7.648679368313279</c:v>
                  </c:pt>
                  <c:pt idx="1">
                    <c:v>5.1066444473085211</c:v>
                  </c:pt>
                  <c:pt idx="2">
                    <c:v>10.854454536149355</c:v>
                  </c:pt>
                </c:numCache>
              </c:numRef>
            </c:plus>
            <c:minus>
              <c:numRef>
                <c:f>'Ash, Moisture &amp; TOM'!$Y$12:$Y$14</c:f>
                <c:numCache>
                  <c:formatCode>General</c:formatCode>
                  <c:ptCount val="3"/>
                  <c:pt idx="0">
                    <c:v>7.648679368313279</c:v>
                  </c:pt>
                  <c:pt idx="1">
                    <c:v>5.1066444473085211</c:v>
                  </c:pt>
                  <c:pt idx="2">
                    <c:v>10.854454536149355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'Ash, Moisture &amp; TOM'!$X$12:$X$14</c:f>
              <c:numCache>
                <c:formatCode>General</c:formatCode>
                <c:ptCount val="3"/>
                <c:pt idx="0">
                  <c:v>27.32003894979534</c:v>
                </c:pt>
                <c:pt idx="1">
                  <c:v>20.581709985551662</c:v>
                </c:pt>
                <c:pt idx="2">
                  <c:v>27.907457350022746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1-4D70-9CA1-F6936B84AC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'Ash, Moisture &amp; TOM'!$AB$12:$AB$14</c:f>
                <c:numCache>
                  <c:formatCode>General</c:formatCode>
                  <c:ptCount val="3"/>
                  <c:pt idx="0">
                    <c:v>10.918708880568666</c:v>
                  </c:pt>
                  <c:pt idx="1">
                    <c:v>7.4868075393905871</c:v>
                  </c:pt>
                  <c:pt idx="2">
                    <c:v>9.6776357191435878</c:v>
                  </c:pt>
                </c:numCache>
              </c:numRef>
            </c:plus>
            <c:minus>
              <c:numRef>
                <c:f>'Ash, Moisture &amp; TOM'!$AB$12:$AB$14</c:f>
                <c:numCache>
                  <c:formatCode>General</c:formatCode>
                  <c:ptCount val="3"/>
                  <c:pt idx="0">
                    <c:v>10.918708880568666</c:v>
                  </c:pt>
                  <c:pt idx="1">
                    <c:v>7.4868075393905871</c:v>
                  </c:pt>
                  <c:pt idx="2">
                    <c:v>9.6776357191435878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'Ash, Moisture &amp; TOM'!$AA$12:$AA$14</c:f>
              <c:numCache>
                <c:formatCode>General</c:formatCode>
                <c:ptCount val="3"/>
                <c:pt idx="0">
                  <c:v>23.898116469613445</c:v>
                </c:pt>
                <c:pt idx="1">
                  <c:v>20.85076615751797</c:v>
                </c:pt>
                <c:pt idx="2">
                  <c:v>22.423824573059793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1-4D70-9CA1-F6936B84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27512"/>
        <c:axId val="794229312"/>
      </c:barChart>
      <c:catAx>
        <c:axId val="794227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9312"/>
        <c:crosses val="autoZero"/>
        <c:auto val="1"/>
        <c:lblAlgn val="ctr"/>
        <c:lblOffset val="100"/>
        <c:noMultiLvlLbl val="0"/>
      </c:catAx>
      <c:valAx>
        <c:axId val="794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baseline="0"/>
                  <a:t>Ash Content (%) ± SD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'Ash, Moisture &amp; TOM'!$Y$19:$Y$21</c:f>
                <c:numCache>
                  <c:formatCode>General</c:formatCode>
                  <c:ptCount val="3"/>
                  <c:pt idx="0">
                    <c:v>7.6486793683132932</c:v>
                  </c:pt>
                  <c:pt idx="1">
                    <c:v>5.1066444473085078</c:v>
                  </c:pt>
                  <c:pt idx="2">
                    <c:v>10.854454536149413</c:v>
                  </c:pt>
                </c:numCache>
              </c:numRef>
            </c:plus>
            <c:minus>
              <c:numRef>
                <c:f>'Ash, Moisture &amp; TOM'!$Y$19:$Y$21</c:f>
                <c:numCache>
                  <c:formatCode>General</c:formatCode>
                  <c:ptCount val="3"/>
                  <c:pt idx="0">
                    <c:v>7.6486793683132932</c:v>
                  </c:pt>
                  <c:pt idx="1">
                    <c:v>5.1066444473085078</c:v>
                  </c:pt>
                  <c:pt idx="2">
                    <c:v>10.854454536149413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'Ash, Moisture &amp; TOM'!$X$19:$X$21</c:f>
              <c:numCache>
                <c:formatCode>General</c:formatCode>
                <c:ptCount val="3"/>
                <c:pt idx="0">
                  <c:v>72.679961050204668</c:v>
                </c:pt>
                <c:pt idx="1">
                  <c:v>79.126871669956728</c:v>
                </c:pt>
                <c:pt idx="2">
                  <c:v>72.092542649977247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9A-457B-9FEB-39DB435DF3D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'Ash, Moisture &amp; TOM'!$AB$19:$AB$21</c:f>
                <c:numCache>
                  <c:formatCode>General</c:formatCode>
                  <c:ptCount val="3"/>
                  <c:pt idx="0">
                    <c:v>10.918708880568666</c:v>
                  </c:pt>
                  <c:pt idx="1">
                    <c:v>7.4868075393905791</c:v>
                  </c:pt>
                  <c:pt idx="2">
                    <c:v>9.6776357191436748</c:v>
                  </c:pt>
                </c:numCache>
              </c:numRef>
            </c:plus>
            <c:minus>
              <c:numRef>
                <c:f>'Ash, Moisture &amp; TOM'!$AB$19:$AB$21</c:f>
                <c:numCache>
                  <c:formatCode>General</c:formatCode>
                  <c:ptCount val="3"/>
                  <c:pt idx="0">
                    <c:v>10.918708880568666</c:v>
                  </c:pt>
                  <c:pt idx="1">
                    <c:v>7.4868075393905791</c:v>
                  </c:pt>
                  <c:pt idx="2">
                    <c:v>9.6776357191436748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Lipid!$S$5:$S$7</c:f>
              <c:strCache>
                <c:ptCount val="3"/>
                <c:pt idx="0">
                  <c:v>Nil</c:v>
                </c:pt>
                <c:pt idx="1">
                  <c:v>13</c:v>
                </c:pt>
                <c:pt idx="2">
                  <c:v>54</c:v>
                </c:pt>
              </c:strCache>
            </c:strRef>
          </c:cat>
          <c:val>
            <c:numRef>
              <c:f>'Ash, Moisture &amp; TOM'!$AA$19:$AA$21</c:f>
              <c:numCache>
                <c:formatCode>General</c:formatCode>
                <c:ptCount val="3"/>
                <c:pt idx="0">
                  <c:v>76.101883530386559</c:v>
                </c:pt>
                <c:pt idx="1">
                  <c:v>79.149233842482019</c:v>
                </c:pt>
                <c:pt idx="2">
                  <c:v>77.576175426940182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9A-457B-9FEB-39DB435DF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4227512"/>
        <c:axId val="794229312"/>
      </c:barChart>
      <c:catAx>
        <c:axId val="794227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Treatment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9312"/>
        <c:crosses val="autoZero"/>
        <c:auto val="1"/>
        <c:lblAlgn val="ctr"/>
        <c:lblOffset val="100"/>
        <c:noMultiLvlLbl val="0"/>
      </c:catAx>
      <c:valAx>
        <c:axId val="79422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baseline="0"/>
                  <a:t>Total Organic Matter (%) ± SD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227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556260</xdr:colOff>
      <xdr:row>8</xdr:row>
      <xdr:rowOff>187641</xdr:rowOff>
    </xdr:from>
    <xdr:to>
      <xdr:col>23</xdr:col>
      <xdr:colOff>584835</xdr:colOff>
      <xdr:row>24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FBE08C-ED94-3A7E-E298-8E0DDE78C8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323850</xdr:colOff>
      <xdr:row>9</xdr:row>
      <xdr:rowOff>161925</xdr:rowOff>
    </xdr:from>
    <xdr:to>
      <xdr:col>25</xdr:col>
      <xdr:colOff>533400</xdr:colOff>
      <xdr:row>25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88C95-A5B7-48D5-94A1-AA6B73D041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295275</xdr:colOff>
      <xdr:row>1</xdr:row>
      <xdr:rowOff>57150</xdr:rowOff>
    </xdr:from>
    <xdr:to>
      <xdr:col>38</xdr:col>
      <xdr:colOff>504825</xdr:colOff>
      <xdr:row>16</xdr:row>
      <xdr:rowOff>138113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62A6B-39CC-4018-B374-34EC07E57B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304800</xdr:colOff>
      <xdr:row>17</xdr:row>
      <xdr:rowOff>47625</xdr:rowOff>
    </xdr:from>
    <xdr:to>
      <xdr:col>38</xdr:col>
      <xdr:colOff>514350</xdr:colOff>
      <xdr:row>32</xdr:row>
      <xdr:rowOff>128588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F0E301-53F6-4FD1-BB80-7686818C6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24</xdr:row>
      <xdr:rowOff>0</xdr:rowOff>
    </xdr:from>
    <xdr:to>
      <xdr:col>29</xdr:col>
      <xdr:colOff>209550</xdr:colOff>
      <xdr:row>39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6B20AA-9536-4AA7-B973-DFDA6E170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auren Fletcher" id="{655807D7-0769-4813-A519-F329619A9121}" userId="S::lauren.Fletcher@cawthron.org.nz::b1185d92-e03b-43a1-ade5-e3ecf57ac7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59" dT="2024-03-25T22:41:34.85" personId="{655807D7-0769-4813-A519-F329619A9121}" id="{882C85FE-F580-46A1-9FF0-9C94F159AAED}">
    <text>This was originally 1065.8 - have decided it is a data entry error. Adjusted to 106.8 as assuming someone pushed 5 and 6 at same time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8A73-A952-4B7A-82F6-5B542B153B3A}">
  <dimension ref="A1:W100"/>
  <sheetViews>
    <sheetView topLeftCell="G40" workbookViewId="0">
      <selection activeCell="N59" sqref="N59"/>
    </sheetView>
  </sheetViews>
  <sheetFormatPr defaultRowHeight="15" x14ac:dyDescent="0.25"/>
  <cols>
    <col min="2" max="2" width="17.42578125" customWidth="1"/>
    <col min="4" max="4" width="10.7109375" customWidth="1"/>
    <col min="7" max="7" width="18" customWidth="1"/>
    <col min="8" max="8" width="18.7109375" customWidth="1"/>
    <col min="9" max="9" width="19.5703125" customWidth="1"/>
    <col min="10" max="10" width="39.7109375" customWidth="1"/>
    <col min="11" max="11" width="38.85546875" bestFit="1" customWidth="1"/>
    <col min="12" max="12" width="28.5703125" customWidth="1"/>
    <col min="13" max="13" width="39" customWidth="1"/>
    <col min="14" max="14" width="17.42578125" customWidth="1"/>
    <col min="17" max="17" width="11.85546875" customWidth="1"/>
  </cols>
  <sheetData>
    <row r="1" spans="1:23" x14ac:dyDescent="0.25">
      <c r="A1" s="27" t="s">
        <v>0</v>
      </c>
      <c r="B1" s="27"/>
      <c r="C1" s="27"/>
      <c r="D1" s="27"/>
      <c r="E1" s="27"/>
      <c r="F1" s="27"/>
      <c r="G1" s="27"/>
    </row>
    <row r="2" spans="1:23" x14ac:dyDescent="0.25">
      <c r="A2" s="27"/>
      <c r="B2" s="27"/>
      <c r="C2" s="27"/>
      <c r="D2" s="27"/>
      <c r="E2" s="27"/>
      <c r="F2" s="27"/>
      <c r="G2" s="27"/>
      <c r="H2" s="28"/>
      <c r="I2" s="28"/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" t="s">
        <v>205</v>
      </c>
      <c r="I3" s="1" t="s">
        <v>206</v>
      </c>
      <c r="J3" s="3" t="s">
        <v>211</v>
      </c>
      <c r="K3" s="3" t="s">
        <v>207</v>
      </c>
      <c r="L3" s="11" t="s">
        <v>431</v>
      </c>
      <c r="M3" s="10" t="s">
        <v>435</v>
      </c>
      <c r="N3" s="19" t="s">
        <v>433</v>
      </c>
      <c r="Q3" s="11"/>
      <c r="R3" s="11" t="s">
        <v>9</v>
      </c>
      <c r="S3" s="11"/>
      <c r="T3" s="11"/>
      <c r="U3" s="11" t="s">
        <v>65</v>
      </c>
      <c r="V3" s="11"/>
      <c r="W3" s="11"/>
    </row>
    <row r="4" spans="1:23" x14ac:dyDescent="0.25">
      <c r="A4" s="4">
        <v>1</v>
      </c>
      <c r="B4" s="4" t="s">
        <v>8</v>
      </c>
      <c r="C4" s="4" t="s">
        <v>9</v>
      </c>
      <c r="D4" s="4" t="s">
        <v>10</v>
      </c>
      <c r="E4" s="4">
        <v>1</v>
      </c>
      <c r="F4" s="4">
        <v>1</v>
      </c>
      <c r="G4" s="5">
        <v>6.65</v>
      </c>
      <c r="H4" s="6" t="s">
        <v>11</v>
      </c>
      <c r="I4" s="6">
        <v>106.1</v>
      </c>
      <c r="J4">
        <v>9.2369916061333335</v>
      </c>
      <c r="K4">
        <f>(J4*0.5)/I4</f>
        <v>4.3529649416273956E-2</v>
      </c>
      <c r="L4">
        <f>I4-(I4*76/100)</f>
        <v>25.463999999999999</v>
      </c>
      <c r="M4" s="9">
        <f>J4*0.5/L4</f>
        <v>0.18137353923447483</v>
      </c>
      <c r="N4" s="20">
        <f>(J4*0.5)*100/L4</f>
        <v>18.137353923447481</v>
      </c>
      <c r="Q4" s="11" t="s">
        <v>4</v>
      </c>
      <c r="R4" s="11" t="s">
        <v>208</v>
      </c>
      <c r="S4" s="11" t="s">
        <v>209</v>
      </c>
      <c r="T4" s="11" t="s">
        <v>210</v>
      </c>
      <c r="U4" s="11" t="s">
        <v>208</v>
      </c>
      <c r="V4" s="11" t="s">
        <v>209</v>
      </c>
      <c r="W4" s="11" t="s">
        <v>210</v>
      </c>
    </row>
    <row r="5" spans="1:23" x14ac:dyDescent="0.25">
      <c r="A5" s="4">
        <v>2</v>
      </c>
      <c r="B5" s="4" t="s">
        <v>12</v>
      </c>
      <c r="C5" s="4" t="s">
        <v>9</v>
      </c>
      <c r="D5" s="4" t="s">
        <v>10</v>
      </c>
      <c r="E5" s="4">
        <v>1</v>
      </c>
      <c r="F5" s="4">
        <v>2</v>
      </c>
      <c r="G5" s="5">
        <v>5.45</v>
      </c>
      <c r="H5" s="6" t="s">
        <v>13</v>
      </c>
      <c r="I5" s="6">
        <v>102.3</v>
      </c>
      <c r="M5" s="9"/>
      <c r="N5" s="20"/>
      <c r="Q5" t="s">
        <v>10</v>
      </c>
      <c r="R5">
        <f>AVERAGE(K4:K13)</f>
        <v>3.7678759098780198E-2</v>
      </c>
      <c r="S5">
        <f>STDEV(K4:K13)</f>
        <v>4.5612933090836156E-3</v>
      </c>
      <c r="T5">
        <f>S5/SQRT(8)</f>
        <v>1.6126607149169257E-3</v>
      </c>
      <c r="U5">
        <f>AVERAGE(K31:K35,K39:K43,K47:K51)</f>
        <v>3.3452581631477671E-2</v>
      </c>
      <c r="V5">
        <f>STDEVA(K31:K35,K39:K43,K47:K51)</f>
        <v>4.6532241786596254E-3</v>
      </c>
      <c r="W5">
        <f>V5/SQRT(15)</f>
        <v>1.2014573166745609E-3</v>
      </c>
    </row>
    <row r="6" spans="1:23" x14ac:dyDescent="0.25">
      <c r="A6" s="4">
        <v>3</v>
      </c>
      <c r="B6" s="4" t="s">
        <v>14</v>
      </c>
      <c r="C6" s="4" t="s">
        <v>9</v>
      </c>
      <c r="D6" s="4" t="s">
        <v>10</v>
      </c>
      <c r="E6" s="4">
        <v>1</v>
      </c>
      <c r="F6" s="4">
        <v>3</v>
      </c>
      <c r="G6" s="5">
        <v>5.75</v>
      </c>
      <c r="H6" s="6" t="s">
        <v>15</v>
      </c>
      <c r="I6" s="6">
        <v>119.1</v>
      </c>
      <c r="J6">
        <v>8.2231522916666666</v>
      </c>
      <c r="K6">
        <f t="shared" ref="K6:K35" si="0">(J6*0.5)/I6</f>
        <v>3.4522049923033864E-2</v>
      </c>
      <c r="L6">
        <f t="shared" ref="L6:L12" si="1">I6-(I6*76/100)</f>
        <v>28.583999999999989</v>
      </c>
      <c r="M6" s="9">
        <f t="shared" ref="M6:M35" si="2">J6*0.5/L6</f>
        <v>0.14384187467930781</v>
      </c>
      <c r="N6" s="20">
        <f t="shared" ref="N6:N35" si="3">(J6*0.5)*100/L6</f>
        <v>14.384187467930783</v>
      </c>
      <c r="Q6">
        <v>13</v>
      </c>
      <c r="R6">
        <f>AVERAGE(K14:K22)</f>
        <v>3.386823442729061E-2</v>
      </c>
      <c r="S6">
        <f>STDEVA(K14:K22)</f>
        <v>2.6185921978634334E-3</v>
      </c>
      <c r="T6">
        <f>S6/SQRT(9)</f>
        <v>8.7286406595447777E-4</v>
      </c>
      <c r="U6">
        <f>AVERAGE(K55:K59,K62:K66,K69:K73)</f>
        <v>3.6327645374501269E-2</v>
      </c>
      <c r="V6">
        <f>STDEVA(K55:K59,K62:K66,K69:K73)</f>
        <v>4.6326241276489176E-3</v>
      </c>
      <c r="W6">
        <f t="shared" ref="W6:W7" si="4">V6/SQRT(15)</f>
        <v>1.1961384063748613E-3</v>
      </c>
    </row>
    <row r="7" spans="1:23" x14ac:dyDescent="0.25">
      <c r="A7" s="4">
        <v>4</v>
      </c>
      <c r="B7" s="4" t="s">
        <v>16</v>
      </c>
      <c r="C7" s="4" t="s">
        <v>9</v>
      </c>
      <c r="D7" s="4" t="s">
        <v>10</v>
      </c>
      <c r="E7" s="4">
        <v>4</v>
      </c>
      <c r="F7" s="4">
        <v>1</v>
      </c>
      <c r="G7" s="5">
        <v>7.5</v>
      </c>
      <c r="H7" s="6" t="s">
        <v>17</v>
      </c>
      <c r="I7" s="6">
        <v>126</v>
      </c>
      <c r="J7">
        <v>7.2094917746833334</v>
      </c>
      <c r="K7">
        <f t="shared" si="0"/>
        <v>2.860909434398148E-2</v>
      </c>
      <c r="L7">
        <f t="shared" si="1"/>
        <v>30.239999999999995</v>
      </c>
      <c r="M7" s="9">
        <f t="shared" si="2"/>
        <v>0.11920455976658953</v>
      </c>
      <c r="N7" s="20">
        <f t="shared" si="3"/>
        <v>11.920455976658953</v>
      </c>
      <c r="Q7">
        <v>54</v>
      </c>
      <c r="R7">
        <f>AVERAGE(K23:K30)</f>
        <v>3.5800222359389379E-2</v>
      </c>
      <c r="S7">
        <f>STDEVA(K23:K30)</f>
        <v>4.0301620418477296E-3</v>
      </c>
      <c r="T7">
        <f>S7/SQRT(9)</f>
        <v>1.3433873472825765E-3</v>
      </c>
      <c r="U7">
        <f>AVERAGE(K77:K81,K85:K89,K93:K97)</f>
        <v>3.5463957696702193E-2</v>
      </c>
      <c r="V7">
        <f>STDEVA(K77:K81,K85:K89,K93:K97)</f>
        <v>3.3539267490519998E-3</v>
      </c>
      <c r="W7">
        <f t="shared" si="4"/>
        <v>8.6598016289853182E-4</v>
      </c>
    </row>
    <row r="8" spans="1:23" x14ac:dyDescent="0.25">
      <c r="A8" s="4">
        <v>5</v>
      </c>
      <c r="B8" s="4" t="s">
        <v>18</v>
      </c>
      <c r="C8" s="4" t="s">
        <v>9</v>
      </c>
      <c r="D8" s="4" t="s">
        <v>10</v>
      </c>
      <c r="E8" s="4">
        <v>4</v>
      </c>
      <c r="F8" s="4">
        <v>2</v>
      </c>
      <c r="G8" s="5">
        <v>7.3</v>
      </c>
      <c r="H8" s="6" t="s">
        <v>19</v>
      </c>
      <c r="I8" s="6">
        <v>103.1</v>
      </c>
      <c r="J8">
        <v>7.1565604510500007</v>
      </c>
      <c r="K8">
        <f t="shared" si="0"/>
        <v>3.4706888705383125E-2</v>
      </c>
      <c r="L8">
        <f t="shared" si="1"/>
        <v>24.744</v>
      </c>
      <c r="M8" s="9">
        <f t="shared" si="2"/>
        <v>0.14461203627242969</v>
      </c>
      <c r="N8" s="20">
        <f t="shared" si="3"/>
        <v>14.46120362724297</v>
      </c>
    </row>
    <row r="9" spans="1:23" x14ac:dyDescent="0.25">
      <c r="A9" s="4">
        <v>6</v>
      </c>
      <c r="B9" s="4" t="s">
        <v>20</v>
      </c>
      <c r="C9" s="4" t="s">
        <v>9</v>
      </c>
      <c r="D9" s="4" t="s">
        <v>10</v>
      </c>
      <c r="E9" s="4">
        <v>4</v>
      </c>
      <c r="F9" s="4">
        <v>3</v>
      </c>
      <c r="G9" s="5">
        <v>5.35</v>
      </c>
      <c r="H9" s="6" t="s">
        <v>21</v>
      </c>
      <c r="I9" s="6">
        <v>107.2</v>
      </c>
      <c r="J9">
        <v>9.1393786400000003</v>
      </c>
      <c r="K9">
        <f t="shared" si="0"/>
        <v>4.2627698880597018E-2</v>
      </c>
      <c r="L9">
        <f t="shared" si="1"/>
        <v>25.728000000000009</v>
      </c>
      <c r="M9" s="9">
        <f t="shared" si="2"/>
        <v>0.17761541200248751</v>
      </c>
      <c r="N9" s="20">
        <f t="shared" si="3"/>
        <v>17.76154120024875</v>
      </c>
    </row>
    <row r="10" spans="1:23" x14ac:dyDescent="0.25">
      <c r="A10" s="4">
        <v>7</v>
      </c>
      <c r="B10" s="4" t="s">
        <v>22</v>
      </c>
      <c r="C10" s="4" t="s">
        <v>9</v>
      </c>
      <c r="D10" s="4" t="s">
        <v>10</v>
      </c>
      <c r="E10" s="4">
        <v>7</v>
      </c>
      <c r="F10" s="4">
        <v>1</v>
      </c>
      <c r="G10" s="5">
        <v>6.3</v>
      </c>
      <c r="H10" s="6" t="s">
        <v>23</v>
      </c>
      <c r="I10" s="6">
        <v>104.6</v>
      </c>
      <c r="J10">
        <v>8.0538545599999996</v>
      </c>
      <c r="K10">
        <f t="shared" si="0"/>
        <v>3.8498348757170175E-2</v>
      </c>
      <c r="L10">
        <f t="shared" si="1"/>
        <v>25.103999999999999</v>
      </c>
      <c r="M10" s="9">
        <f t="shared" si="2"/>
        <v>0.16040978648820906</v>
      </c>
      <c r="N10" s="20">
        <f t="shared" si="3"/>
        <v>16.040978648820904</v>
      </c>
    </row>
    <row r="11" spans="1:23" x14ac:dyDescent="0.25">
      <c r="A11" s="4">
        <v>8</v>
      </c>
      <c r="B11" s="4" t="s">
        <v>24</v>
      </c>
      <c r="C11" s="4" t="s">
        <v>9</v>
      </c>
      <c r="D11" s="4" t="s">
        <v>10</v>
      </c>
      <c r="E11" s="4">
        <v>7</v>
      </c>
      <c r="F11" s="4">
        <v>2</v>
      </c>
      <c r="G11" s="5">
        <v>5.75</v>
      </c>
      <c r="H11" s="6" t="s">
        <v>25</v>
      </c>
      <c r="I11" s="6">
        <v>100.1</v>
      </c>
      <c r="J11">
        <v>7.6287105300000002</v>
      </c>
      <c r="K11">
        <f t="shared" si="0"/>
        <v>3.8105447202797203E-2</v>
      </c>
      <c r="L11">
        <f t="shared" si="1"/>
        <v>24.024000000000001</v>
      </c>
      <c r="M11" s="9">
        <f t="shared" si="2"/>
        <v>0.15877269667832167</v>
      </c>
      <c r="N11" s="20">
        <f t="shared" si="3"/>
        <v>15.877269667832168</v>
      </c>
    </row>
    <row r="12" spans="1:23" x14ac:dyDescent="0.25">
      <c r="A12" s="4">
        <v>9</v>
      </c>
      <c r="B12" s="4" t="s">
        <v>26</v>
      </c>
      <c r="C12" s="4" t="s">
        <v>9</v>
      </c>
      <c r="D12" s="4" t="s">
        <v>10</v>
      </c>
      <c r="E12" s="4">
        <v>7</v>
      </c>
      <c r="F12" s="4">
        <v>3</v>
      </c>
      <c r="G12" s="5">
        <v>5.65</v>
      </c>
      <c r="H12" s="6" t="s">
        <v>27</v>
      </c>
      <c r="I12" s="6">
        <v>102.3</v>
      </c>
      <c r="J12">
        <v>8.1641993900000003</v>
      </c>
      <c r="K12">
        <f t="shared" si="0"/>
        <v>3.990322282502444E-2</v>
      </c>
      <c r="L12">
        <f t="shared" si="1"/>
        <v>24.551999999999992</v>
      </c>
      <c r="M12" s="9">
        <f t="shared" si="2"/>
        <v>0.16626342843760189</v>
      </c>
      <c r="N12" s="20">
        <f t="shared" si="3"/>
        <v>16.626342843760188</v>
      </c>
    </row>
    <row r="13" spans="1:23" x14ac:dyDescent="0.25">
      <c r="A13" s="4">
        <v>10</v>
      </c>
      <c r="B13" s="4" t="s">
        <v>28</v>
      </c>
      <c r="C13" s="4" t="s">
        <v>9</v>
      </c>
      <c r="D13" s="4">
        <v>13</v>
      </c>
      <c r="E13" s="4">
        <v>3</v>
      </c>
      <c r="F13" s="4">
        <v>1</v>
      </c>
      <c r="G13" s="5">
        <v>6.4</v>
      </c>
      <c r="H13" s="6" t="s">
        <v>29</v>
      </c>
      <c r="I13" s="6">
        <v>105.1</v>
      </c>
      <c r="J13">
        <v>8.1150719716666657</v>
      </c>
      <c r="K13">
        <f t="shared" si="0"/>
        <v>3.8606431834760542E-2</v>
      </c>
      <c r="L13">
        <f>I13-(I13*78/100)</f>
        <v>23.122</v>
      </c>
      <c r="M13" s="9">
        <f t="shared" si="2"/>
        <v>0.17548378106709336</v>
      </c>
      <c r="N13" s="20">
        <f t="shared" si="3"/>
        <v>17.54837810670934</v>
      </c>
    </row>
    <row r="14" spans="1:23" x14ac:dyDescent="0.25">
      <c r="A14" s="4">
        <v>11</v>
      </c>
      <c r="B14" s="4" t="s">
        <v>30</v>
      </c>
      <c r="C14" s="4" t="s">
        <v>9</v>
      </c>
      <c r="D14" s="4">
        <v>13</v>
      </c>
      <c r="E14" s="4">
        <v>3</v>
      </c>
      <c r="F14" s="4">
        <v>2</v>
      </c>
      <c r="G14" s="5">
        <v>5.6</v>
      </c>
      <c r="H14" s="6" t="s">
        <v>31</v>
      </c>
      <c r="I14" s="6">
        <v>109.3</v>
      </c>
      <c r="J14">
        <v>7.245516668333333</v>
      </c>
      <c r="K14">
        <f t="shared" si="0"/>
        <v>3.314508997407746E-2</v>
      </c>
      <c r="L14">
        <f t="shared" ref="L14:L21" si="5">I14-(I14*78/100)</f>
        <v>24.046000000000006</v>
      </c>
      <c r="M14" s="9">
        <f t="shared" si="2"/>
        <v>0.15065949988217023</v>
      </c>
      <c r="N14" s="20">
        <f t="shared" si="3"/>
        <v>15.065949988217024</v>
      </c>
    </row>
    <row r="15" spans="1:23" x14ac:dyDescent="0.25">
      <c r="A15" s="4">
        <v>12</v>
      </c>
      <c r="B15" s="4" t="s">
        <v>32</v>
      </c>
      <c r="C15" s="4" t="s">
        <v>9</v>
      </c>
      <c r="D15" s="4">
        <v>13</v>
      </c>
      <c r="E15" s="4">
        <v>3</v>
      </c>
      <c r="F15" s="4">
        <v>3</v>
      </c>
      <c r="G15" s="5">
        <v>5.4</v>
      </c>
      <c r="H15" s="6" t="s">
        <v>33</v>
      </c>
      <c r="I15" s="6">
        <v>101.9</v>
      </c>
      <c r="J15">
        <v>6.4866065950000005</v>
      </c>
      <c r="K15">
        <f t="shared" si="0"/>
        <v>3.1828295363101083E-2</v>
      </c>
      <c r="L15">
        <f t="shared" si="5"/>
        <v>22.417999999999992</v>
      </c>
      <c r="M15" s="9">
        <f t="shared" si="2"/>
        <v>0.14467406983227771</v>
      </c>
      <c r="N15" s="20">
        <f t="shared" si="3"/>
        <v>14.46740698322777</v>
      </c>
    </row>
    <row r="16" spans="1:23" x14ac:dyDescent="0.25">
      <c r="A16" s="4">
        <v>13</v>
      </c>
      <c r="B16" s="4" t="s">
        <v>34</v>
      </c>
      <c r="C16" s="4" t="s">
        <v>9</v>
      </c>
      <c r="D16" s="4">
        <v>13</v>
      </c>
      <c r="E16" s="4">
        <v>5</v>
      </c>
      <c r="F16" s="4">
        <v>1</v>
      </c>
      <c r="G16" s="5">
        <v>7.75</v>
      </c>
      <c r="H16" s="6" t="s">
        <v>35</v>
      </c>
      <c r="I16" s="6">
        <v>110.4</v>
      </c>
      <c r="J16">
        <v>8.4460448750000001</v>
      </c>
      <c r="K16">
        <f t="shared" si="0"/>
        <v>3.8252014832427537E-2</v>
      </c>
      <c r="L16">
        <f t="shared" si="5"/>
        <v>24.287999999999997</v>
      </c>
      <c r="M16" s="9">
        <f t="shared" si="2"/>
        <v>0.17387279469285247</v>
      </c>
      <c r="N16" s="20">
        <f t="shared" si="3"/>
        <v>17.387279469285247</v>
      </c>
    </row>
    <row r="17" spans="1:14" x14ac:dyDescent="0.25">
      <c r="A17" s="4">
        <v>14</v>
      </c>
      <c r="B17" s="4" t="s">
        <v>36</v>
      </c>
      <c r="C17" s="4" t="s">
        <v>9</v>
      </c>
      <c r="D17" s="4">
        <v>13</v>
      </c>
      <c r="E17" s="4">
        <v>5</v>
      </c>
      <c r="F17" s="4">
        <v>2</v>
      </c>
      <c r="G17" s="5">
        <v>5.35</v>
      </c>
      <c r="H17" s="6" t="s">
        <v>37</v>
      </c>
      <c r="I17" s="6">
        <v>105.9</v>
      </c>
      <c r="J17">
        <v>7.4469390833333335</v>
      </c>
      <c r="K17">
        <f t="shared" si="0"/>
        <v>3.5160241186654076E-2</v>
      </c>
      <c r="L17">
        <f t="shared" si="5"/>
        <v>23.298000000000002</v>
      </c>
      <c r="M17" s="9">
        <f t="shared" si="2"/>
        <v>0.15981927812115487</v>
      </c>
      <c r="N17" s="20">
        <f t="shared" si="3"/>
        <v>15.98192781211549</v>
      </c>
    </row>
    <row r="18" spans="1:14" x14ac:dyDescent="0.25">
      <c r="A18" s="4">
        <v>15</v>
      </c>
      <c r="B18" s="4" t="s">
        <v>38</v>
      </c>
      <c r="C18" s="4" t="s">
        <v>9</v>
      </c>
      <c r="D18" s="4">
        <v>13</v>
      </c>
      <c r="E18" s="4">
        <v>5</v>
      </c>
      <c r="F18" s="4">
        <v>3</v>
      </c>
      <c r="G18" s="5">
        <v>5.2</v>
      </c>
      <c r="H18" s="6" t="s">
        <v>39</v>
      </c>
      <c r="I18" s="6">
        <v>108.5</v>
      </c>
      <c r="J18">
        <v>7.5849683783333335</v>
      </c>
      <c r="K18">
        <f t="shared" si="0"/>
        <v>3.4953771328725042E-2</v>
      </c>
      <c r="L18">
        <f t="shared" si="5"/>
        <v>23.870000000000005</v>
      </c>
      <c r="M18" s="9">
        <f t="shared" si="2"/>
        <v>0.15888077876693196</v>
      </c>
      <c r="N18" s="20">
        <f t="shared" si="3"/>
        <v>15.888077876693195</v>
      </c>
    </row>
    <row r="19" spans="1:14" x14ac:dyDescent="0.25">
      <c r="A19" s="4">
        <v>16</v>
      </c>
      <c r="B19" s="4" t="s">
        <v>40</v>
      </c>
      <c r="C19" s="4" t="s">
        <v>9</v>
      </c>
      <c r="D19" s="4">
        <v>13</v>
      </c>
      <c r="E19" s="4">
        <v>2</v>
      </c>
      <c r="F19" s="4">
        <v>1</v>
      </c>
      <c r="G19" s="5">
        <v>6.5</v>
      </c>
      <c r="H19" s="6" t="s">
        <v>41</v>
      </c>
      <c r="I19" s="6">
        <v>121.8</v>
      </c>
      <c r="J19">
        <v>7.1795740700333326</v>
      </c>
      <c r="K19">
        <f t="shared" si="0"/>
        <v>2.947279995908593E-2</v>
      </c>
      <c r="L19">
        <f t="shared" si="5"/>
        <v>26.796000000000006</v>
      </c>
      <c r="M19" s="9">
        <f t="shared" si="2"/>
        <v>0.13396727254129964</v>
      </c>
      <c r="N19" s="20">
        <f t="shared" si="3"/>
        <v>13.396727254129965</v>
      </c>
    </row>
    <row r="20" spans="1:14" x14ac:dyDescent="0.25">
      <c r="A20" s="4">
        <v>17</v>
      </c>
      <c r="B20" s="4" t="s">
        <v>42</v>
      </c>
      <c r="C20" s="4" t="s">
        <v>9</v>
      </c>
      <c r="D20" s="4">
        <v>13</v>
      </c>
      <c r="E20" s="4">
        <v>2</v>
      </c>
      <c r="F20" s="4">
        <v>2</v>
      </c>
      <c r="G20" s="5">
        <v>6.35</v>
      </c>
      <c r="H20" s="6" t="s">
        <v>43</v>
      </c>
      <c r="I20" s="6">
        <v>114</v>
      </c>
      <c r="J20">
        <v>8.1990773904833336</v>
      </c>
      <c r="K20">
        <f t="shared" si="0"/>
        <v>3.5960865747733918E-2</v>
      </c>
      <c r="L20">
        <f t="shared" si="5"/>
        <v>25.08</v>
      </c>
      <c r="M20" s="9">
        <f t="shared" si="2"/>
        <v>0.16345848067151783</v>
      </c>
      <c r="N20" s="20">
        <f t="shared" si="3"/>
        <v>16.345848067151785</v>
      </c>
    </row>
    <row r="21" spans="1:14" x14ac:dyDescent="0.25">
      <c r="A21" s="4">
        <v>18</v>
      </c>
      <c r="B21" s="4" t="s">
        <v>44</v>
      </c>
      <c r="C21" s="4" t="s">
        <v>9</v>
      </c>
      <c r="D21" s="4">
        <v>13</v>
      </c>
      <c r="E21" s="4">
        <v>2</v>
      </c>
      <c r="F21" s="4">
        <v>3</v>
      </c>
      <c r="G21" s="5">
        <v>4.05</v>
      </c>
      <c r="H21" s="6" t="s">
        <v>45</v>
      </c>
      <c r="I21" s="6">
        <v>114.1</v>
      </c>
      <c r="J21">
        <v>7.257172211666667</v>
      </c>
      <c r="K21">
        <f t="shared" si="0"/>
        <v>3.1801806361378908E-2</v>
      </c>
      <c r="L21">
        <f t="shared" si="5"/>
        <v>25.102000000000004</v>
      </c>
      <c r="M21" s="9">
        <f t="shared" si="2"/>
        <v>0.14455366527899502</v>
      </c>
      <c r="N21" s="20">
        <f t="shared" si="3"/>
        <v>14.455366527899502</v>
      </c>
    </row>
    <row r="22" spans="1:14" x14ac:dyDescent="0.25">
      <c r="A22" s="4">
        <v>19</v>
      </c>
      <c r="B22" s="4" t="s">
        <v>46</v>
      </c>
      <c r="C22" s="4" t="s">
        <v>9</v>
      </c>
      <c r="D22" s="4">
        <v>54</v>
      </c>
      <c r="E22" s="4">
        <v>9</v>
      </c>
      <c r="F22" s="4">
        <v>1</v>
      </c>
      <c r="G22" s="5">
        <v>5.65</v>
      </c>
      <c r="H22" s="6" t="s">
        <v>47</v>
      </c>
      <c r="I22" s="6">
        <v>103.5</v>
      </c>
      <c r="J22">
        <v>7.0875195941333331</v>
      </c>
      <c r="K22">
        <f t="shared" si="0"/>
        <v>3.4239225092431561E-2</v>
      </c>
      <c r="L22">
        <f>I22-(I22*76/100)</f>
        <v>24.840000000000003</v>
      </c>
      <c r="M22" s="9">
        <f t="shared" si="2"/>
        <v>0.14266343788513147</v>
      </c>
      <c r="N22" s="20">
        <f t="shared" si="3"/>
        <v>14.266343788513149</v>
      </c>
    </row>
    <row r="23" spans="1:14" x14ac:dyDescent="0.25">
      <c r="A23" s="4">
        <v>20</v>
      </c>
      <c r="B23" s="4" t="s">
        <v>48</v>
      </c>
      <c r="C23" s="4" t="s">
        <v>9</v>
      </c>
      <c r="D23" s="4">
        <v>54</v>
      </c>
      <c r="E23" s="4">
        <v>9</v>
      </c>
      <c r="F23" s="4">
        <v>2</v>
      </c>
      <c r="G23" s="5">
        <v>4.5</v>
      </c>
      <c r="H23" s="6" t="s">
        <v>49</v>
      </c>
      <c r="I23" s="6">
        <v>109.2</v>
      </c>
      <c r="J23">
        <v>9.296586379999999</v>
      </c>
      <c r="K23">
        <f t="shared" si="0"/>
        <v>4.2566787454212447E-2</v>
      </c>
      <c r="L23">
        <f t="shared" ref="L23:L30" si="6">I23-(I23*76/100)</f>
        <v>26.207999999999998</v>
      </c>
      <c r="M23" s="9">
        <f t="shared" si="2"/>
        <v>0.17736161439255188</v>
      </c>
      <c r="N23" s="20">
        <f t="shared" si="3"/>
        <v>17.736161439255188</v>
      </c>
    </row>
    <row r="24" spans="1:14" x14ac:dyDescent="0.25">
      <c r="A24" s="4">
        <v>21</v>
      </c>
      <c r="B24" s="4" t="s">
        <v>50</v>
      </c>
      <c r="C24" s="4" t="s">
        <v>9</v>
      </c>
      <c r="D24" s="4">
        <v>54</v>
      </c>
      <c r="E24" s="4">
        <v>9</v>
      </c>
      <c r="F24" s="4">
        <v>3</v>
      </c>
      <c r="G24" s="5">
        <v>6</v>
      </c>
      <c r="H24" s="6" t="s">
        <v>51</v>
      </c>
      <c r="I24" s="6">
        <v>128.30000000000001</v>
      </c>
      <c r="J24">
        <v>7.9971661666666671</v>
      </c>
      <c r="K24">
        <f t="shared" si="0"/>
        <v>3.1165885294881786E-2</v>
      </c>
      <c r="L24">
        <f t="shared" si="6"/>
        <v>30.792000000000002</v>
      </c>
      <c r="M24" s="9">
        <f t="shared" si="2"/>
        <v>0.12985785539534078</v>
      </c>
      <c r="N24" s="20">
        <f t="shared" si="3"/>
        <v>12.985785539534078</v>
      </c>
    </row>
    <row r="25" spans="1:14" x14ac:dyDescent="0.25">
      <c r="A25" s="4">
        <v>22</v>
      </c>
      <c r="B25" s="4" t="s">
        <v>52</v>
      </c>
      <c r="C25" s="4" t="s">
        <v>9</v>
      </c>
      <c r="D25" s="4">
        <v>54</v>
      </c>
      <c r="E25" s="4">
        <v>6</v>
      </c>
      <c r="F25" s="4">
        <v>1</v>
      </c>
      <c r="G25" s="5">
        <v>6.65</v>
      </c>
      <c r="H25" s="6" t="s">
        <v>53</v>
      </c>
      <c r="I25" s="6">
        <v>122.9</v>
      </c>
      <c r="J25">
        <v>8.937814559483332</v>
      </c>
      <c r="K25">
        <f t="shared" si="0"/>
        <v>3.6362142227352852E-2</v>
      </c>
      <c r="L25">
        <f t="shared" si="6"/>
        <v>29.496000000000009</v>
      </c>
      <c r="M25" s="9">
        <f t="shared" si="2"/>
        <v>0.15150892594730353</v>
      </c>
      <c r="N25" s="20">
        <f t="shared" si="3"/>
        <v>15.150892594730353</v>
      </c>
    </row>
    <row r="26" spans="1:14" x14ac:dyDescent="0.25">
      <c r="A26" s="4">
        <v>23</v>
      </c>
      <c r="B26" s="4" t="s">
        <v>54</v>
      </c>
      <c r="C26" s="4" t="s">
        <v>9</v>
      </c>
      <c r="D26" s="4">
        <v>54</v>
      </c>
      <c r="E26" s="4">
        <v>6</v>
      </c>
      <c r="F26" s="4">
        <v>2</v>
      </c>
      <c r="G26" s="5">
        <v>5.55</v>
      </c>
      <c r="H26" s="6" t="s">
        <v>55</v>
      </c>
      <c r="I26" s="6">
        <v>101.8</v>
      </c>
      <c r="J26">
        <v>6.9237320783333329</v>
      </c>
      <c r="K26">
        <f t="shared" si="0"/>
        <v>3.4006542624426983E-2</v>
      </c>
      <c r="L26">
        <f t="shared" si="6"/>
        <v>24.432000000000002</v>
      </c>
      <c r="M26" s="9">
        <f t="shared" si="2"/>
        <v>0.14169392760177907</v>
      </c>
      <c r="N26" s="20">
        <f t="shared" si="3"/>
        <v>14.169392760177907</v>
      </c>
    </row>
    <row r="27" spans="1:14" x14ac:dyDescent="0.25">
      <c r="A27" s="4">
        <v>24</v>
      </c>
      <c r="B27" s="4" t="s">
        <v>56</v>
      </c>
      <c r="C27" s="4" t="s">
        <v>9</v>
      </c>
      <c r="D27" s="4">
        <v>54</v>
      </c>
      <c r="E27" s="4">
        <v>6</v>
      </c>
      <c r="F27" s="4">
        <v>3</v>
      </c>
      <c r="G27" s="5">
        <v>5.4</v>
      </c>
      <c r="H27" s="6" t="s">
        <v>57</v>
      </c>
      <c r="I27" s="6">
        <v>106.2</v>
      </c>
      <c r="J27">
        <v>7.9850507340499997</v>
      </c>
      <c r="K27">
        <f t="shared" si="0"/>
        <v>3.7594400819444443E-2</v>
      </c>
      <c r="L27">
        <f t="shared" si="6"/>
        <v>25.488</v>
      </c>
      <c r="M27" s="9">
        <f t="shared" si="2"/>
        <v>0.15664333674768519</v>
      </c>
      <c r="N27" s="20">
        <f t="shared" si="3"/>
        <v>15.664333674768518</v>
      </c>
    </row>
    <row r="28" spans="1:14" x14ac:dyDescent="0.25">
      <c r="A28" s="4">
        <v>25</v>
      </c>
      <c r="B28" s="4" t="s">
        <v>58</v>
      </c>
      <c r="C28" s="4" t="s">
        <v>9</v>
      </c>
      <c r="D28" s="4">
        <v>54</v>
      </c>
      <c r="E28" s="4">
        <v>8</v>
      </c>
      <c r="F28" s="4">
        <v>1</v>
      </c>
      <c r="G28" s="5">
        <v>5.85</v>
      </c>
      <c r="H28" s="6" t="s">
        <v>59</v>
      </c>
      <c r="I28" s="6">
        <v>105.8</v>
      </c>
      <c r="J28">
        <v>6.3349742537333329</v>
      </c>
      <c r="K28">
        <f t="shared" si="0"/>
        <v>2.9938441652804033E-2</v>
      </c>
      <c r="L28">
        <f t="shared" si="6"/>
        <v>25.391999999999996</v>
      </c>
      <c r="M28" s="9">
        <f t="shared" si="2"/>
        <v>0.12474350688668348</v>
      </c>
      <c r="N28" s="20">
        <f t="shared" si="3"/>
        <v>12.474350688668348</v>
      </c>
    </row>
    <row r="29" spans="1:14" x14ac:dyDescent="0.25">
      <c r="A29" s="4">
        <v>26</v>
      </c>
      <c r="B29" s="4" t="s">
        <v>60</v>
      </c>
      <c r="C29" s="4" t="s">
        <v>9</v>
      </c>
      <c r="D29" s="4">
        <v>54</v>
      </c>
      <c r="E29" s="4">
        <v>8</v>
      </c>
      <c r="F29" s="4">
        <v>2</v>
      </c>
      <c r="G29" s="5">
        <v>5.45</v>
      </c>
      <c r="H29" s="6" t="s">
        <v>61</v>
      </c>
      <c r="I29" s="6">
        <v>105</v>
      </c>
      <c r="J29">
        <v>7.7687227157000009</v>
      </c>
      <c r="K29">
        <f t="shared" si="0"/>
        <v>3.6993917693809525E-2</v>
      </c>
      <c r="L29">
        <f t="shared" si="6"/>
        <v>25.200000000000003</v>
      </c>
      <c r="M29" s="9">
        <f t="shared" si="2"/>
        <v>0.15414132372420636</v>
      </c>
      <c r="N29" s="20">
        <f t="shared" si="3"/>
        <v>15.414132372420635</v>
      </c>
    </row>
    <row r="30" spans="1:14" x14ac:dyDescent="0.25">
      <c r="A30" s="4">
        <v>27</v>
      </c>
      <c r="B30" s="4" t="s">
        <v>62</v>
      </c>
      <c r="C30" s="4" t="s">
        <v>9</v>
      </c>
      <c r="D30" s="4">
        <v>54</v>
      </c>
      <c r="E30" s="4">
        <v>8</v>
      </c>
      <c r="F30" s="4">
        <v>3</v>
      </c>
      <c r="G30" s="5">
        <v>5.45</v>
      </c>
      <c r="H30" s="6" t="s">
        <v>63</v>
      </c>
      <c r="I30" s="6">
        <v>105.3</v>
      </c>
      <c r="J30">
        <v>7.9551330293833331</v>
      </c>
      <c r="K30">
        <f t="shared" si="0"/>
        <v>3.777366110818297E-2</v>
      </c>
      <c r="L30">
        <f t="shared" si="6"/>
        <v>25.271999999999991</v>
      </c>
      <c r="M30" s="9">
        <f t="shared" si="2"/>
        <v>0.15739025461742909</v>
      </c>
      <c r="N30" s="20">
        <f t="shared" si="3"/>
        <v>15.739025461742907</v>
      </c>
    </row>
    <row r="31" spans="1:14" x14ac:dyDescent="0.25">
      <c r="A31" s="4">
        <v>28</v>
      </c>
      <c r="B31" s="4" t="s">
        <v>64</v>
      </c>
      <c r="C31" s="4" t="s">
        <v>65</v>
      </c>
      <c r="D31" s="4" t="s">
        <v>10</v>
      </c>
      <c r="E31" s="4">
        <v>1</v>
      </c>
      <c r="F31" s="4">
        <v>1</v>
      </c>
      <c r="G31" s="5">
        <v>5.45</v>
      </c>
      <c r="H31" s="6" t="s">
        <v>66</v>
      </c>
      <c r="I31" s="6">
        <v>114.4</v>
      </c>
      <c r="J31">
        <v>6.555276441666666</v>
      </c>
      <c r="K31">
        <f t="shared" si="0"/>
        <v>2.865068374854312E-2</v>
      </c>
      <c r="L31">
        <f>I31-(I31*80/100)</f>
        <v>22.88000000000001</v>
      </c>
      <c r="M31" s="9">
        <f t="shared" si="2"/>
        <v>0.14325341874271555</v>
      </c>
      <c r="N31" s="20">
        <f t="shared" si="3"/>
        <v>14.325341874271555</v>
      </c>
    </row>
    <row r="32" spans="1:14" x14ac:dyDescent="0.25">
      <c r="A32" s="4">
        <v>29</v>
      </c>
      <c r="B32" s="4" t="s">
        <v>67</v>
      </c>
      <c r="C32" s="4" t="s">
        <v>65</v>
      </c>
      <c r="D32" s="4" t="s">
        <v>10</v>
      </c>
      <c r="E32" s="4">
        <v>1</v>
      </c>
      <c r="F32" s="4">
        <v>2</v>
      </c>
      <c r="G32" s="5">
        <v>5.5</v>
      </c>
      <c r="H32" s="6" t="s">
        <v>68</v>
      </c>
      <c r="I32" s="6">
        <v>114.1</v>
      </c>
      <c r="J32">
        <v>7.7195962549999999</v>
      </c>
      <c r="K32">
        <f t="shared" si="0"/>
        <v>3.3828204447852762E-2</v>
      </c>
      <c r="L32">
        <f t="shared" ref="L32:L51" si="7">I32-(I32*80/100)</f>
        <v>22.819999999999993</v>
      </c>
      <c r="M32" s="9">
        <f t="shared" si="2"/>
        <v>0.16914102223926386</v>
      </c>
      <c r="N32" s="20">
        <f t="shared" si="3"/>
        <v>16.914102223926385</v>
      </c>
    </row>
    <row r="33" spans="1:14" x14ac:dyDescent="0.25">
      <c r="A33" s="4">
        <v>30</v>
      </c>
      <c r="B33" s="4" t="s">
        <v>69</v>
      </c>
      <c r="C33" s="4" t="s">
        <v>65</v>
      </c>
      <c r="D33" s="4" t="s">
        <v>10</v>
      </c>
      <c r="E33" s="4">
        <v>1</v>
      </c>
      <c r="F33" s="4">
        <v>3</v>
      </c>
      <c r="G33" s="5">
        <v>5</v>
      </c>
      <c r="H33" s="6" t="s">
        <v>70</v>
      </c>
      <c r="I33" s="6">
        <v>107.1</v>
      </c>
      <c r="J33">
        <v>5.5678153349999997</v>
      </c>
      <c r="K33">
        <f t="shared" si="0"/>
        <v>2.5993535644257704E-2</v>
      </c>
      <c r="L33">
        <f t="shared" si="7"/>
        <v>21.419999999999987</v>
      </c>
      <c r="M33" s="9">
        <f t="shared" si="2"/>
        <v>0.12996767822128857</v>
      </c>
      <c r="N33" s="20">
        <f t="shared" si="3"/>
        <v>12.996767822128859</v>
      </c>
    </row>
    <row r="34" spans="1:14" x14ac:dyDescent="0.25">
      <c r="A34" s="4">
        <v>31</v>
      </c>
      <c r="B34" s="4" t="s">
        <v>71</v>
      </c>
      <c r="C34" s="4" t="s">
        <v>65</v>
      </c>
      <c r="D34" s="4" t="s">
        <v>10</v>
      </c>
      <c r="E34" s="4">
        <v>1</v>
      </c>
      <c r="F34" s="4">
        <v>4</v>
      </c>
      <c r="G34" s="5">
        <v>8.75</v>
      </c>
      <c r="H34" s="6" t="s">
        <v>72</v>
      </c>
      <c r="I34" s="6">
        <v>96.2</v>
      </c>
      <c r="J34">
        <v>8.4706380943500008</v>
      </c>
      <c r="K34">
        <f t="shared" si="0"/>
        <v>4.4026185521569651E-2</v>
      </c>
      <c r="L34">
        <f t="shared" si="7"/>
        <v>19.240000000000009</v>
      </c>
      <c r="M34" s="9">
        <f t="shared" si="2"/>
        <v>0.22013092760784814</v>
      </c>
      <c r="N34" s="20">
        <f t="shared" si="3"/>
        <v>22.013092760784815</v>
      </c>
    </row>
    <row r="35" spans="1:14" x14ac:dyDescent="0.25">
      <c r="A35" s="4">
        <v>32</v>
      </c>
      <c r="B35" s="4" t="s">
        <v>73</v>
      </c>
      <c r="C35" s="4" t="s">
        <v>65</v>
      </c>
      <c r="D35" s="4" t="s">
        <v>10</v>
      </c>
      <c r="E35" s="4">
        <v>1</v>
      </c>
      <c r="F35" s="4">
        <v>5</v>
      </c>
      <c r="G35" s="5">
        <v>5.15</v>
      </c>
      <c r="H35" s="6" t="s">
        <v>74</v>
      </c>
      <c r="I35" s="6">
        <v>101.3</v>
      </c>
      <c r="J35">
        <v>7.4847654033333342</v>
      </c>
      <c r="K35">
        <f t="shared" si="0"/>
        <v>3.6943560727212901E-2</v>
      </c>
      <c r="L35">
        <f t="shared" si="7"/>
        <v>20.259999999999991</v>
      </c>
      <c r="M35" s="9">
        <f t="shared" si="2"/>
        <v>0.1847178036360646</v>
      </c>
      <c r="N35" s="20">
        <f t="shared" si="3"/>
        <v>18.471780363606459</v>
      </c>
    </row>
    <row r="36" spans="1:14" x14ac:dyDescent="0.25">
      <c r="A36" s="4">
        <v>33</v>
      </c>
      <c r="B36" s="7" t="s">
        <v>75</v>
      </c>
      <c r="C36" s="7" t="s">
        <v>65</v>
      </c>
      <c r="D36" s="7" t="s">
        <v>10</v>
      </c>
      <c r="E36" s="7">
        <v>1</v>
      </c>
      <c r="F36" s="7">
        <v>6</v>
      </c>
      <c r="G36" s="8">
        <v>6</v>
      </c>
      <c r="H36" s="6" t="s">
        <v>76</v>
      </c>
      <c r="I36" s="6">
        <v>105.9</v>
      </c>
      <c r="M36" s="9"/>
      <c r="N36" s="20"/>
    </row>
    <row r="37" spans="1:14" x14ac:dyDescent="0.25">
      <c r="A37" s="4">
        <v>34</v>
      </c>
      <c r="B37" s="7" t="s">
        <v>77</v>
      </c>
      <c r="C37" s="7" t="s">
        <v>65</v>
      </c>
      <c r="D37" s="7" t="s">
        <v>10</v>
      </c>
      <c r="E37" s="7">
        <v>1</v>
      </c>
      <c r="F37" s="7">
        <v>7</v>
      </c>
      <c r="G37" s="8">
        <v>8.25</v>
      </c>
      <c r="H37" s="6" t="s">
        <v>78</v>
      </c>
      <c r="I37" s="6">
        <v>102.6</v>
      </c>
      <c r="M37" s="9"/>
      <c r="N37" s="20"/>
    </row>
    <row r="38" spans="1:14" x14ac:dyDescent="0.25">
      <c r="A38" s="4">
        <v>35</v>
      </c>
      <c r="B38" s="7" t="s">
        <v>79</v>
      </c>
      <c r="C38" s="7" t="s">
        <v>65</v>
      </c>
      <c r="D38" s="7" t="s">
        <v>10</v>
      </c>
      <c r="E38" s="7">
        <v>1</v>
      </c>
      <c r="F38" s="7">
        <v>8</v>
      </c>
      <c r="G38" s="8">
        <v>7.55</v>
      </c>
      <c r="H38" s="6" t="s">
        <v>80</v>
      </c>
      <c r="I38" s="6">
        <v>110.5</v>
      </c>
      <c r="M38" s="9"/>
      <c r="N38" s="20"/>
    </row>
    <row r="39" spans="1:14" x14ac:dyDescent="0.25">
      <c r="A39" s="4">
        <v>36</v>
      </c>
      <c r="B39" s="4" t="s">
        <v>81</v>
      </c>
      <c r="C39" s="4" t="s">
        <v>65</v>
      </c>
      <c r="D39" s="4" t="s">
        <v>10</v>
      </c>
      <c r="E39" s="4">
        <v>4</v>
      </c>
      <c r="F39" s="4">
        <v>1</v>
      </c>
      <c r="G39" s="5">
        <v>7.3</v>
      </c>
      <c r="H39" s="6" t="s">
        <v>82</v>
      </c>
      <c r="I39" s="6">
        <v>99.2</v>
      </c>
      <c r="J39">
        <v>6.9482957866666668</v>
      </c>
      <c r="K39">
        <f>(J39*0.5)/I39</f>
        <v>3.5021652150537631E-2</v>
      </c>
      <c r="L39">
        <f t="shared" si="7"/>
        <v>19.840000000000003</v>
      </c>
      <c r="M39" s="9">
        <f>J39*0.5/L39</f>
        <v>0.17510826075268815</v>
      </c>
      <c r="N39" s="20">
        <f>(J39*0.5)*100/L39</f>
        <v>17.510826075268813</v>
      </c>
    </row>
    <row r="40" spans="1:14" x14ac:dyDescent="0.25">
      <c r="A40" s="4">
        <v>37</v>
      </c>
      <c r="B40" s="4" t="s">
        <v>83</v>
      </c>
      <c r="C40" s="4" t="s">
        <v>65</v>
      </c>
      <c r="D40" s="4" t="s">
        <v>10</v>
      </c>
      <c r="E40" s="4">
        <v>4</v>
      </c>
      <c r="F40" s="4">
        <v>2</v>
      </c>
      <c r="G40" s="5">
        <v>8.15</v>
      </c>
      <c r="H40" s="6" t="s">
        <v>84</v>
      </c>
      <c r="I40" s="6">
        <v>120.9</v>
      </c>
      <c r="J40">
        <v>7.1472618316666656</v>
      </c>
      <c r="K40">
        <f>(J40*0.5)/I40</f>
        <v>2.9558568369175621E-2</v>
      </c>
      <c r="L40">
        <f t="shared" si="7"/>
        <v>24.180000000000007</v>
      </c>
      <c r="M40" s="9">
        <f>J40*0.5/L40</f>
        <v>0.14779284184587807</v>
      </c>
      <c r="N40" s="20">
        <f>(J40*0.5)*100/L40</f>
        <v>14.779284184587809</v>
      </c>
    </row>
    <row r="41" spans="1:14" x14ac:dyDescent="0.25">
      <c r="A41" s="4">
        <v>38</v>
      </c>
      <c r="B41" s="4" t="s">
        <v>85</v>
      </c>
      <c r="C41" s="4" t="s">
        <v>65</v>
      </c>
      <c r="D41" s="4" t="s">
        <v>10</v>
      </c>
      <c r="E41" s="4">
        <v>4</v>
      </c>
      <c r="F41" s="4">
        <v>3</v>
      </c>
      <c r="G41" s="5">
        <v>6.95</v>
      </c>
      <c r="H41" s="6" t="s">
        <v>86</v>
      </c>
      <c r="I41" s="6">
        <v>97.1</v>
      </c>
      <c r="J41">
        <v>7.1935699683333327</v>
      </c>
      <c r="K41">
        <f>(J41*0.5)/I41</f>
        <v>3.704206986783385E-2</v>
      </c>
      <c r="L41">
        <f t="shared" si="7"/>
        <v>19.419999999999987</v>
      </c>
      <c r="M41" s="9">
        <f>J41*0.5/L41</f>
        <v>0.18521034933916936</v>
      </c>
      <c r="N41" s="20">
        <f>(J41*0.5)*100/L41</f>
        <v>18.521034933916933</v>
      </c>
    </row>
    <row r="42" spans="1:14" x14ac:dyDescent="0.25">
      <c r="A42" s="4">
        <v>39</v>
      </c>
      <c r="B42" s="4" t="s">
        <v>87</v>
      </c>
      <c r="C42" s="4" t="s">
        <v>65</v>
      </c>
      <c r="D42" s="4" t="s">
        <v>10</v>
      </c>
      <c r="E42" s="4">
        <v>4</v>
      </c>
      <c r="F42" s="4">
        <v>4</v>
      </c>
      <c r="G42" s="5">
        <v>6.1</v>
      </c>
      <c r="H42" s="6" t="s">
        <v>88</v>
      </c>
      <c r="I42" s="6">
        <v>118.2</v>
      </c>
      <c r="J42">
        <v>6.5766172529500002</v>
      </c>
      <c r="K42">
        <f>(J42*0.5)/I42</f>
        <v>2.7819869936336717E-2</v>
      </c>
      <c r="L42">
        <f t="shared" si="7"/>
        <v>23.64</v>
      </c>
      <c r="M42" s="9">
        <f>J42*0.5/L42</f>
        <v>0.13909934968168358</v>
      </c>
      <c r="N42" s="20">
        <f>(J42*0.5)*100/L42</f>
        <v>13.909934968168358</v>
      </c>
    </row>
    <row r="43" spans="1:14" x14ac:dyDescent="0.25">
      <c r="A43" s="4">
        <v>40</v>
      </c>
      <c r="B43" s="4" t="s">
        <v>89</v>
      </c>
      <c r="C43" s="4" t="s">
        <v>65</v>
      </c>
      <c r="D43" s="4" t="s">
        <v>10</v>
      </c>
      <c r="E43" s="4">
        <v>4</v>
      </c>
      <c r="F43" s="4">
        <v>5</v>
      </c>
      <c r="G43" s="5">
        <v>4.1500000000000004</v>
      </c>
      <c r="H43" s="6" t="s">
        <v>90</v>
      </c>
      <c r="I43" s="6">
        <v>111.1</v>
      </c>
      <c r="J43">
        <v>8.5765007416166661</v>
      </c>
      <c r="K43">
        <f>(J43*0.5)/I43</f>
        <v>3.8598113148589859E-2</v>
      </c>
      <c r="L43">
        <f t="shared" si="7"/>
        <v>22.22</v>
      </c>
      <c r="M43" s="9">
        <f>J43*0.5/L43</f>
        <v>0.19299056574294929</v>
      </c>
      <c r="N43" s="20">
        <f>(J43*0.5)*100/L43</f>
        <v>19.299056574294926</v>
      </c>
    </row>
    <row r="44" spans="1:14" x14ac:dyDescent="0.25">
      <c r="A44" s="4">
        <v>41</v>
      </c>
      <c r="B44" s="7" t="s">
        <v>91</v>
      </c>
      <c r="C44" s="7" t="s">
        <v>65</v>
      </c>
      <c r="D44" s="7" t="s">
        <v>10</v>
      </c>
      <c r="E44" s="7">
        <v>4</v>
      </c>
      <c r="F44" s="7">
        <v>6</v>
      </c>
      <c r="G44" s="8">
        <v>5.3</v>
      </c>
      <c r="H44" s="6" t="s">
        <v>92</v>
      </c>
      <c r="I44" s="6">
        <v>107</v>
      </c>
      <c r="M44" s="9"/>
      <c r="N44" s="20"/>
    </row>
    <row r="45" spans="1:14" x14ac:dyDescent="0.25">
      <c r="A45" s="4">
        <v>42</v>
      </c>
      <c r="B45" s="7" t="s">
        <v>93</v>
      </c>
      <c r="C45" s="7" t="s">
        <v>65</v>
      </c>
      <c r="D45" s="7" t="s">
        <v>10</v>
      </c>
      <c r="E45" s="7">
        <v>4</v>
      </c>
      <c r="F45" s="7">
        <v>7</v>
      </c>
      <c r="G45" s="8">
        <v>7.4</v>
      </c>
      <c r="H45" s="6" t="s">
        <v>94</v>
      </c>
      <c r="I45" s="6">
        <v>102</v>
      </c>
      <c r="M45" s="9"/>
      <c r="N45" s="20"/>
    </row>
    <row r="46" spans="1:14" x14ac:dyDescent="0.25">
      <c r="A46" s="4">
        <v>43</v>
      </c>
      <c r="B46" s="7" t="s">
        <v>95</v>
      </c>
      <c r="C46" s="7" t="s">
        <v>65</v>
      </c>
      <c r="D46" s="7" t="s">
        <v>10</v>
      </c>
      <c r="E46" s="7">
        <v>4</v>
      </c>
      <c r="F46" s="7">
        <v>8</v>
      </c>
      <c r="G46" s="8">
        <v>7.95</v>
      </c>
      <c r="H46" s="6" t="s">
        <v>96</v>
      </c>
      <c r="I46" s="6">
        <v>99.7</v>
      </c>
      <c r="M46" s="9"/>
      <c r="N46" s="20"/>
    </row>
    <row r="47" spans="1:14" x14ac:dyDescent="0.25">
      <c r="A47" s="4">
        <v>44</v>
      </c>
      <c r="B47" s="4" t="s">
        <v>97</v>
      </c>
      <c r="C47" s="4" t="s">
        <v>65</v>
      </c>
      <c r="D47" s="4" t="s">
        <v>10</v>
      </c>
      <c r="E47" s="4">
        <v>7</v>
      </c>
      <c r="F47" s="4">
        <v>1</v>
      </c>
      <c r="G47" s="5">
        <v>5.15</v>
      </c>
      <c r="H47" s="6" t="s">
        <v>98</v>
      </c>
      <c r="I47" s="6">
        <v>100.9</v>
      </c>
      <c r="J47">
        <v>6.3303715299499999</v>
      </c>
      <c r="K47">
        <f>(J47*0.5)/I47</f>
        <v>3.1369531862983149E-2</v>
      </c>
      <c r="L47">
        <f t="shared" si="7"/>
        <v>20.180000000000007</v>
      </c>
      <c r="M47" s="9">
        <f>J47*0.5/L47</f>
        <v>0.15684765931491571</v>
      </c>
      <c r="N47" s="20">
        <f>(J47*0.5)*100/L47</f>
        <v>15.684765931491572</v>
      </c>
    </row>
    <row r="48" spans="1:14" x14ac:dyDescent="0.25">
      <c r="A48" s="4">
        <v>45</v>
      </c>
      <c r="B48" s="4" t="s">
        <v>99</v>
      </c>
      <c r="C48" s="4" t="s">
        <v>65</v>
      </c>
      <c r="D48" s="4" t="s">
        <v>10</v>
      </c>
      <c r="E48" s="4">
        <v>7</v>
      </c>
      <c r="F48" s="4">
        <v>2</v>
      </c>
      <c r="G48" s="5">
        <v>4.8</v>
      </c>
      <c r="H48" s="6" t="s">
        <v>100</v>
      </c>
      <c r="I48" s="6">
        <v>109.4</v>
      </c>
      <c r="J48">
        <v>7.2009086900000012</v>
      </c>
      <c r="K48">
        <f>(J48*0.5)/I48</f>
        <v>3.291091723034735E-2</v>
      </c>
      <c r="L48">
        <f t="shared" si="7"/>
        <v>21.88000000000001</v>
      </c>
      <c r="M48" s="9">
        <f>J48*0.5/L48</f>
        <v>0.16455458615173671</v>
      </c>
      <c r="N48" s="20">
        <f>(J48*0.5)*100/L48</f>
        <v>16.455458615173669</v>
      </c>
    </row>
    <row r="49" spans="1:14" x14ac:dyDescent="0.25">
      <c r="A49" s="4">
        <v>46</v>
      </c>
      <c r="B49" s="4" t="s">
        <v>101</v>
      </c>
      <c r="C49" s="4" t="s">
        <v>65</v>
      </c>
      <c r="D49" s="4" t="s">
        <v>10</v>
      </c>
      <c r="E49" s="4">
        <v>7</v>
      </c>
      <c r="F49" s="4">
        <v>3</v>
      </c>
      <c r="G49" s="5">
        <v>7.05</v>
      </c>
      <c r="H49" s="6" t="s">
        <v>102</v>
      </c>
      <c r="I49" s="6">
        <v>100.2</v>
      </c>
      <c r="J49">
        <v>6.3440285433333337</v>
      </c>
      <c r="K49">
        <f>(J49*0.5)/I49</f>
        <v>3.1656829058549565E-2</v>
      </c>
      <c r="L49">
        <f t="shared" si="7"/>
        <v>20.040000000000006</v>
      </c>
      <c r="M49" s="9">
        <f>J49*0.5/L49</f>
        <v>0.15828414529274779</v>
      </c>
      <c r="N49" s="20">
        <f>(J49*0.5)*100/L49</f>
        <v>15.828414529274781</v>
      </c>
    </row>
    <row r="50" spans="1:14" x14ac:dyDescent="0.25">
      <c r="A50" s="4">
        <v>47</v>
      </c>
      <c r="B50" s="4" t="s">
        <v>103</v>
      </c>
      <c r="C50" s="4" t="s">
        <v>65</v>
      </c>
      <c r="D50" s="4" t="s">
        <v>10</v>
      </c>
      <c r="E50" s="4">
        <v>7</v>
      </c>
      <c r="F50" s="4">
        <v>4</v>
      </c>
      <c r="G50" s="5">
        <v>6.5</v>
      </c>
      <c r="H50" s="6" t="s">
        <v>104</v>
      </c>
      <c r="I50" s="6">
        <v>130.30000000000001</v>
      </c>
      <c r="J50">
        <v>8.6074967183333353</v>
      </c>
      <c r="K50">
        <f>(J50*0.5)/I50</f>
        <v>3.3029534606037352E-2</v>
      </c>
      <c r="L50">
        <f t="shared" si="7"/>
        <v>26.060000000000016</v>
      </c>
      <c r="M50" s="9">
        <f>J50*0.5/L50</f>
        <v>0.16514767303018668</v>
      </c>
      <c r="N50" s="20">
        <f>(J50*0.5)*100/L50</f>
        <v>16.514767303018669</v>
      </c>
    </row>
    <row r="51" spans="1:14" x14ac:dyDescent="0.25">
      <c r="A51" s="4">
        <v>48</v>
      </c>
      <c r="B51" s="4" t="s">
        <v>105</v>
      </c>
      <c r="C51" s="4" t="s">
        <v>65</v>
      </c>
      <c r="D51" s="4" t="s">
        <v>10</v>
      </c>
      <c r="E51" s="4">
        <v>7</v>
      </c>
      <c r="F51" s="4">
        <v>5</v>
      </c>
      <c r="G51" s="5">
        <v>7.3</v>
      </c>
      <c r="H51" s="6" t="s">
        <v>106</v>
      </c>
      <c r="I51" s="6">
        <v>110.5</v>
      </c>
      <c r="J51">
        <v>7.8100224616666667</v>
      </c>
      <c r="K51">
        <f>(J51*0.5)/I51</f>
        <v>3.5339468152337856E-2</v>
      </c>
      <c r="L51">
        <f t="shared" si="7"/>
        <v>22.099999999999994</v>
      </c>
      <c r="M51" s="9">
        <f>J51*0.5/L51</f>
        <v>0.17669734076168933</v>
      </c>
      <c r="N51" s="20">
        <f>(J51*0.5)*100/L51</f>
        <v>17.669734076168933</v>
      </c>
    </row>
    <row r="52" spans="1:14" x14ac:dyDescent="0.25">
      <c r="A52" s="4">
        <v>49</v>
      </c>
      <c r="B52" s="7" t="s">
        <v>107</v>
      </c>
      <c r="C52" s="7" t="s">
        <v>65</v>
      </c>
      <c r="D52" s="7" t="s">
        <v>10</v>
      </c>
      <c r="E52" s="7">
        <v>7</v>
      </c>
      <c r="F52" s="7">
        <v>6</v>
      </c>
      <c r="G52" s="8">
        <v>5.5</v>
      </c>
      <c r="H52" s="6" t="s">
        <v>108</v>
      </c>
      <c r="I52" s="6">
        <v>119.3</v>
      </c>
      <c r="M52" s="9"/>
      <c r="N52" s="20"/>
    </row>
    <row r="53" spans="1:14" x14ac:dyDescent="0.25">
      <c r="A53" s="4">
        <v>50</v>
      </c>
      <c r="B53" s="7" t="s">
        <v>109</v>
      </c>
      <c r="C53" s="7" t="s">
        <v>65</v>
      </c>
      <c r="D53" s="7" t="s">
        <v>10</v>
      </c>
      <c r="E53" s="7">
        <v>7</v>
      </c>
      <c r="F53" s="7">
        <v>7</v>
      </c>
      <c r="G53" s="8">
        <v>9.9499999999999993</v>
      </c>
      <c r="H53" s="6" t="s">
        <v>110</v>
      </c>
      <c r="I53" s="6">
        <v>113.4</v>
      </c>
      <c r="M53" s="9"/>
      <c r="N53" s="20"/>
    </row>
    <row r="54" spans="1:14" x14ac:dyDescent="0.25">
      <c r="A54" s="4">
        <v>51</v>
      </c>
      <c r="B54" s="7" t="s">
        <v>111</v>
      </c>
      <c r="C54" s="7" t="s">
        <v>65</v>
      </c>
      <c r="D54" s="7" t="s">
        <v>10</v>
      </c>
      <c r="E54" s="7">
        <v>7</v>
      </c>
      <c r="F54" s="7">
        <v>8</v>
      </c>
      <c r="G54" s="8">
        <v>5.45</v>
      </c>
      <c r="H54" s="6" t="s">
        <v>112</v>
      </c>
      <c r="I54" s="6">
        <v>106.4</v>
      </c>
      <c r="M54" s="9"/>
      <c r="N54" s="20"/>
    </row>
    <row r="55" spans="1:14" x14ac:dyDescent="0.25">
      <c r="A55" s="4">
        <v>52</v>
      </c>
      <c r="B55" s="4" t="s">
        <v>113</v>
      </c>
      <c r="C55" s="4" t="s">
        <v>65</v>
      </c>
      <c r="D55" s="4">
        <v>13</v>
      </c>
      <c r="E55" s="4">
        <v>3</v>
      </c>
      <c r="F55" s="4">
        <v>1</v>
      </c>
      <c r="G55" s="5">
        <v>5.55</v>
      </c>
      <c r="H55" s="6" t="s">
        <v>114</v>
      </c>
      <c r="I55" s="6">
        <v>99.3</v>
      </c>
      <c r="J55">
        <v>5.6583738559500008</v>
      </c>
      <c r="K55">
        <f>(J55*0.5)/I55</f>
        <v>2.8491308438821757E-2</v>
      </c>
      <c r="L55">
        <f>I55-(I55*79/100)</f>
        <v>20.852999999999994</v>
      </c>
      <c r="M55" s="9">
        <f>J55*0.5/L55</f>
        <v>0.1356728973277227</v>
      </c>
      <c r="N55" s="20">
        <f>(J55*0.5)*100/L55</f>
        <v>13.56728973277227</v>
      </c>
    </row>
    <row r="56" spans="1:14" x14ac:dyDescent="0.25">
      <c r="A56" s="4">
        <v>53</v>
      </c>
      <c r="B56" s="4" t="s">
        <v>115</v>
      </c>
      <c r="C56" s="4" t="s">
        <v>65</v>
      </c>
      <c r="D56" s="4">
        <v>13</v>
      </c>
      <c r="E56" s="4">
        <v>3</v>
      </c>
      <c r="F56" s="4">
        <v>2</v>
      </c>
      <c r="G56" s="5">
        <v>6.15</v>
      </c>
      <c r="H56" s="6" t="s">
        <v>116</v>
      </c>
      <c r="I56" s="6">
        <v>122</v>
      </c>
      <c r="J56">
        <v>8.8274195349999989</v>
      </c>
      <c r="K56">
        <f>(J56*0.5)/I56</f>
        <v>3.6177948913934423E-2</v>
      </c>
      <c r="L56">
        <f t="shared" ref="L56:L73" si="8">I56-(I56*79/100)</f>
        <v>25.620000000000005</v>
      </c>
      <c r="M56" s="9">
        <f>J56*0.5/L56</f>
        <v>0.17227594720921149</v>
      </c>
      <c r="N56" s="20">
        <f>(J56*0.5)*100/L56</f>
        <v>17.22759472092115</v>
      </c>
    </row>
    <row r="57" spans="1:14" x14ac:dyDescent="0.25">
      <c r="A57" s="4">
        <v>54</v>
      </c>
      <c r="B57" s="4" t="s">
        <v>117</v>
      </c>
      <c r="C57" s="4" t="s">
        <v>65</v>
      </c>
      <c r="D57" s="4">
        <v>13</v>
      </c>
      <c r="E57" s="4">
        <v>3</v>
      </c>
      <c r="F57" s="4">
        <v>3</v>
      </c>
      <c r="G57" s="5">
        <v>6.05</v>
      </c>
      <c r="H57" s="6" t="s">
        <v>118</v>
      </c>
      <c r="I57" s="6">
        <v>102</v>
      </c>
      <c r="J57">
        <v>6.8942051947666663</v>
      </c>
      <c r="K57">
        <f>(J57*0.5)/I57</f>
        <v>3.379512350375817E-2</v>
      </c>
      <c r="L57">
        <f t="shared" si="8"/>
        <v>21.42</v>
      </c>
      <c r="M57" s="9">
        <f>J57*0.5/L57</f>
        <v>0.16092915954170556</v>
      </c>
      <c r="N57" s="20">
        <f>(J57*0.5)*100/L57</f>
        <v>16.092915954170554</v>
      </c>
    </row>
    <row r="58" spans="1:14" x14ac:dyDescent="0.25">
      <c r="A58" s="4">
        <v>55</v>
      </c>
      <c r="B58" s="4" t="s">
        <v>119</v>
      </c>
      <c r="C58" s="4" t="s">
        <v>65</v>
      </c>
      <c r="D58" s="4">
        <v>13</v>
      </c>
      <c r="E58" s="4">
        <v>3</v>
      </c>
      <c r="F58" s="4">
        <v>4</v>
      </c>
      <c r="G58" s="5">
        <v>6.8</v>
      </c>
      <c r="H58" s="6" t="s">
        <v>120</v>
      </c>
      <c r="I58" s="6">
        <v>122.8</v>
      </c>
      <c r="J58">
        <v>9.8550791449999995</v>
      </c>
      <c r="K58">
        <f>(J58*0.5)/I58</f>
        <v>4.012654375E-2</v>
      </c>
      <c r="L58">
        <f t="shared" si="8"/>
        <v>25.788000000000011</v>
      </c>
      <c r="M58" s="9">
        <f>J58*0.5/L58</f>
        <v>0.19107877976190468</v>
      </c>
      <c r="N58" s="20">
        <f>(J58*0.5)*100/L58</f>
        <v>19.107877976190469</v>
      </c>
    </row>
    <row r="59" spans="1:14" x14ac:dyDescent="0.25">
      <c r="A59" s="4">
        <v>56</v>
      </c>
      <c r="B59" s="4" t="s">
        <v>121</v>
      </c>
      <c r="C59" s="4" t="s">
        <v>65</v>
      </c>
      <c r="D59" s="4">
        <v>13</v>
      </c>
      <c r="E59" s="4">
        <v>3</v>
      </c>
      <c r="F59" s="4">
        <v>5</v>
      </c>
      <c r="G59" s="5">
        <v>5.7</v>
      </c>
      <c r="H59" s="6" t="s">
        <v>122</v>
      </c>
      <c r="I59" s="6">
        <v>106.8</v>
      </c>
      <c r="J59">
        <v>8.1936758400000009</v>
      </c>
      <c r="K59">
        <f>(J59*0.5)/I59</f>
        <v>3.8359905617977537E-2</v>
      </c>
      <c r="L59">
        <f t="shared" si="8"/>
        <v>22.428000000000011</v>
      </c>
      <c r="M59" s="9">
        <f>J59*0.5/L59</f>
        <v>0.18266621722846435</v>
      </c>
      <c r="N59" s="20">
        <f>(J59*0.5)*100/L59</f>
        <v>18.266621722846434</v>
      </c>
    </row>
    <row r="60" spans="1:14" x14ac:dyDescent="0.25">
      <c r="A60" s="4">
        <v>57</v>
      </c>
      <c r="B60" s="7" t="s">
        <v>123</v>
      </c>
      <c r="C60" s="7" t="s">
        <v>65</v>
      </c>
      <c r="D60" s="7">
        <v>13</v>
      </c>
      <c r="E60" s="7">
        <v>3</v>
      </c>
      <c r="F60" s="7">
        <v>6</v>
      </c>
      <c r="G60" s="8">
        <v>10.199999999999999</v>
      </c>
      <c r="H60" s="6" t="s">
        <v>124</v>
      </c>
      <c r="I60" s="6">
        <v>106.9</v>
      </c>
      <c r="M60" s="9"/>
      <c r="N60" s="20"/>
    </row>
    <row r="61" spans="1:14" x14ac:dyDescent="0.25">
      <c r="A61" s="4">
        <v>58</v>
      </c>
      <c r="B61" s="7" t="s">
        <v>125</v>
      </c>
      <c r="C61" s="7" t="s">
        <v>65</v>
      </c>
      <c r="D61" s="7">
        <v>13</v>
      </c>
      <c r="E61" s="7">
        <v>3</v>
      </c>
      <c r="F61" s="7">
        <v>7</v>
      </c>
      <c r="G61" s="8">
        <v>5.85</v>
      </c>
      <c r="H61" s="6" t="s">
        <v>126</v>
      </c>
      <c r="I61" s="6">
        <v>100.4</v>
      </c>
      <c r="M61" s="9"/>
      <c r="N61" s="20"/>
    </row>
    <row r="62" spans="1:14" x14ac:dyDescent="0.25">
      <c r="A62" s="4">
        <v>59</v>
      </c>
      <c r="B62" s="4" t="s">
        <v>127</v>
      </c>
      <c r="C62" s="4" t="s">
        <v>65</v>
      </c>
      <c r="D62" s="4">
        <v>13</v>
      </c>
      <c r="E62" s="4">
        <v>5</v>
      </c>
      <c r="F62" s="4">
        <v>1</v>
      </c>
      <c r="G62" s="5">
        <v>5.2</v>
      </c>
      <c r="H62" s="6" t="s">
        <v>128</v>
      </c>
      <c r="I62" s="6">
        <v>104.3</v>
      </c>
      <c r="J62">
        <v>7.5454906116666658</v>
      </c>
      <c r="K62">
        <f>(J62*0.5)/I62</f>
        <v>3.6172054705976349E-2</v>
      </c>
      <c r="L62">
        <f t="shared" si="8"/>
        <v>21.903000000000006</v>
      </c>
      <c r="M62" s="9">
        <f>J62*0.5/L62</f>
        <v>0.17224787955226828</v>
      </c>
      <c r="N62" s="20">
        <f>(J62*0.5)*100/L62</f>
        <v>17.224787955226827</v>
      </c>
    </row>
    <row r="63" spans="1:14" x14ac:dyDescent="0.25">
      <c r="A63" s="4">
        <v>60</v>
      </c>
      <c r="B63" s="4" t="s">
        <v>129</v>
      </c>
      <c r="C63" s="4" t="s">
        <v>65</v>
      </c>
      <c r="D63" s="4">
        <v>13</v>
      </c>
      <c r="E63" s="4">
        <v>5</v>
      </c>
      <c r="F63" s="4">
        <v>2</v>
      </c>
      <c r="G63" s="5">
        <v>6.15</v>
      </c>
      <c r="H63" s="6" t="s">
        <v>130</v>
      </c>
      <c r="I63" s="6">
        <v>106.7</v>
      </c>
      <c r="J63">
        <v>8.2550851133333349</v>
      </c>
      <c r="K63">
        <f>(J63*0.5)/I63</f>
        <v>3.8683622836613564E-2</v>
      </c>
      <c r="L63">
        <f t="shared" si="8"/>
        <v>22.406999999999996</v>
      </c>
      <c r="M63" s="9">
        <f>J63*0.5/L63</f>
        <v>0.18420772779339797</v>
      </c>
      <c r="N63" s="20">
        <f>(J63*0.5)*100/L63</f>
        <v>18.420772779339796</v>
      </c>
    </row>
    <row r="64" spans="1:14" x14ac:dyDescent="0.25">
      <c r="A64" s="4">
        <v>61</v>
      </c>
      <c r="B64" s="4" t="s">
        <v>131</v>
      </c>
      <c r="C64" s="4" t="s">
        <v>65</v>
      </c>
      <c r="D64" s="4">
        <v>13</v>
      </c>
      <c r="E64" s="4">
        <v>5</v>
      </c>
      <c r="F64" s="4">
        <v>3</v>
      </c>
      <c r="G64" s="5">
        <v>5.45</v>
      </c>
      <c r="H64" s="6" t="s">
        <v>132</v>
      </c>
      <c r="I64" s="6">
        <v>104.4</v>
      </c>
      <c r="J64">
        <v>9.6420313000500002</v>
      </c>
      <c r="K64">
        <f>(J64*0.5)/I64</f>
        <v>4.6178310823994248E-2</v>
      </c>
      <c r="L64">
        <f t="shared" si="8"/>
        <v>21.924000000000007</v>
      </c>
      <c r="M64" s="9">
        <f>J64*0.5/L64</f>
        <v>0.21989671820949638</v>
      </c>
      <c r="N64" s="20">
        <f>(J64*0.5)*100/L64</f>
        <v>21.989671820949638</v>
      </c>
    </row>
    <row r="65" spans="1:14" x14ac:dyDescent="0.25">
      <c r="A65" s="4">
        <v>62</v>
      </c>
      <c r="B65" s="4" t="s">
        <v>133</v>
      </c>
      <c r="C65" s="4" t="s">
        <v>65</v>
      </c>
      <c r="D65" s="4">
        <v>13</v>
      </c>
      <c r="E65" s="4">
        <v>5</v>
      </c>
      <c r="F65" s="4">
        <v>4</v>
      </c>
      <c r="G65" s="5">
        <v>7.75</v>
      </c>
      <c r="H65" s="6" t="s">
        <v>134</v>
      </c>
      <c r="I65" s="6">
        <v>123.9</v>
      </c>
      <c r="J65">
        <v>9.3535999350000001</v>
      </c>
      <c r="K65">
        <f>(J65*0.5)/I65</f>
        <v>3.7746569552058108E-2</v>
      </c>
      <c r="L65">
        <f t="shared" si="8"/>
        <v>26.019000000000005</v>
      </c>
      <c r="M65" s="9">
        <f>J65*0.5/L65</f>
        <v>0.17974556929551477</v>
      </c>
      <c r="N65" s="20">
        <f>(J65*0.5)*100/L65</f>
        <v>17.974556929551476</v>
      </c>
    </row>
    <row r="66" spans="1:14" x14ac:dyDescent="0.25">
      <c r="A66" s="4">
        <v>63</v>
      </c>
      <c r="B66" s="4" t="s">
        <v>135</v>
      </c>
      <c r="C66" s="4" t="s">
        <v>65</v>
      </c>
      <c r="D66" s="4">
        <v>13</v>
      </c>
      <c r="E66" s="4">
        <v>5</v>
      </c>
      <c r="F66" s="4">
        <v>5</v>
      </c>
      <c r="G66" s="5">
        <v>6.55</v>
      </c>
      <c r="H66" s="6" t="s">
        <v>136</v>
      </c>
      <c r="I66" s="6">
        <v>116.4</v>
      </c>
      <c r="J66">
        <v>7.7146835116666663</v>
      </c>
      <c r="K66">
        <f>(J66*0.5)/I66</f>
        <v>3.3138674878293237E-2</v>
      </c>
      <c r="L66">
        <f t="shared" si="8"/>
        <v>24.444000000000003</v>
      </c>
      <c r="M66" s="9">
        <f>J66*0.5/L66</f>
        <v>0.15780321370615827</v>
      </c>
      <c r="N66" s="20">
        <f>(J66*0.5)*100/L66</f>
        <v>15.780321370615827</v>
      </c>
    </row>
    <row r="67" spans="1:14" x14ac:dyDescent="0.25">
      <c r="A67" s="4">
        <v>64</v>
      </c>
      <c r="B67" s="7" t="s">
        <v>137</v>
      </c>
      <c r="C67" s="7" t="s">
        <v>65</v>
      </c>
      <c r="D67" s="7">
        <v>13</v>
      </c>
      <c r="E67" s="7">
        <v>5</v>
      </c>
      <c r="F67" s="7">
        <v>6</v>
      </c>
      <c r="G67" s="8">
        <v>5.0999999999999996</v>
      </c>
      <c r="H67" s="6" t="s">
        <v>138</v>
      </c>
      <c r="I67" s="6">
        <v>102.2</v>
      </c>
      <c r="M67" s="9"/>
      <c r="N67" s="20"/>
    </row>
    <row r="68" spans="1:14" x14ac:dyDescent="0.25">
      <c r="A68" s="4">
        <v>65</v>
      </c>
      <c r="B68" s="7" t="s">
        <v>139</v>
      </c>
      <c r="C68" s="7" t="s">
        <v>65</v>
      </c>
      <c r="D68" s="7">
        <v>13</v>
      </c>
      <c r="E68" s="7">
        <v>5</v>
      </c>
      <c r="F68" s="7">
        <v>7</v>
      </c>
      <c r="G68" s="8">
        <v>4.5999999999999996</v>
      </c>
      <c r="H68" s="6" t="s">
        <v>140</v>
      </c>
      <c r="I68" s="6">
        <v>101.7</v>
      </c>
      <c r="M68" s="9"/>
      <c r="N68" s="20"/>
    </row>
    <row r="69" spans="1:14" x14ac:dyDescent="0.25">
      <c r="A69" s="4">
        <v>66</v>
      </c>
      <c r="B69" s="4" t="s">
        <v>141</v>
      </c>
      <c r="C69" s="4" t="s">
        <v>65</v>
      </c>
      <c r="D69" s="4">
        <v>13</v>
      </c>
      <c r="E69" s="4">
        <v>2</v>
      </c>
      <c r="F69" s="4">
        <v>1</v>
      </c>
      <c r="G69" s="5">
        <v>5.2</v>
      </c>
      <c r="H69" s="6" t="s">
        <v>142</v>
      </c>
      <c r="I69" s="6">
        <v>109.7</v>
      </c>
      <c r="J69">
        <v>9.3487074549999996</v>
      </c>
      <c r="K69">
        <f>(J69*0.5)/I69</f>
        <v>4.2610334799453052E-2</v>
      </c>
      <c r="L69">
        <f t="shared" si="8"/>
        <v>23.036999999999992</v>
      </c>
      <c r="M69" s="9">
        <f>J69*0.5/L69</f>
        <v>0.20290635618787176</v>
      </c>
      <c r="N69" s="20">
        <f>(J69*0.5)*100/L69</f>
        <v>20.290635618787174</v>
      </c>
    </row>
    <row r="70" spans="1:14" x14ac:dyDescent="0.25">
      <c r="A70" s="4">
        <v>67</v>
      </c>
      <c r="B70" s="4" t="s">
        <v>143</v>
      </c>
      <c r="C70" s="4" t="s">
        <v>65</v>
      </c>
      <c r="D70" s="4">
        <v>13</v>
      </c>
      <c r="E70" s="4">
        <v>2</v>
      </c>
      <c r="F70" s="4">
        <v>2</v>
      </c>
      <c r="G70" s="5">
        <v>9.6999999999999993</v>
      </c>
      <c r="H70" s="6" t="s">
        <v>144</v>
      </c>
      <c r="I70" s="6">
        <v>111.3</v>
      </c>
      <c r="J70">
        <v>7.9641355849999984</v>
      </c>
      <c r="K70">
        <f>(J70*0.5)/I70</f>
        <v>3.5777787893081753E-2</v>
      </c>
      <c r="L70">
        <f t="shared" si="8"/>
        <v>23.373000000000005</v>
      </c>
      <c r="M70" s="9">
        <f>J70*0.5/L70</f>
        <v>0.1703704185384845</v>
      </c>
      <c r="N70" s="20">
        <f>(J70*0.5)*100/L70</f>
        <v>17.03704185384845</v>
      </c>
    </row>
    <row r="71" spans="1:14" x14ac:dyDescent="0.25">
      <c r="A71" s="4">
        <v>68</v>
      </c>
      <c r="B71" s="4" t="s">
        <v>145</v>
      </c>
      <c r="C71" s="4" t="s">
        <v>65</v>
      </c>
      <c r="D71" s="4">
        <v>13</v>
      </c>
      <c r="E71" s="4">
        <v>2</v>
      </c>
      <c r="F71" s="4">
        <v>3</v>
      </c>
      <c r="G71" s="5">
        <v>5.0999999999999996</v>
      </c>
      <c r="H71" s="6" t="s">
        <v>146</v>
      </c>
      <c r="I71" s="6">
        <v>98.2</v>
      </c>
      <c r="J71">
        <v>6.4645904350000007</v>
      </c>
      <c r="K71">
        <f>(J71*0.5)/I71</f>
        <v>3.2915429913441957E-2</v>
      </c>
      <c r="L71">
        <f t="shared" si="8"/>
        <v>20.622</v>
      </c>
      <c r="M71" s="9">
        <f>J71*0.5/L71</f>
        <v>0.15674014244496171</v>
      </c>
      <c r="N71" s="20">
        <f>(J71*0.5)*100/L71</f>
        <v>15.674014244496172</v>
      </c>
    </row>
    <row r="72" spans="1:14" x14ac:dyDescent="0.25">
      <c r="A72" s="4">
        <v>69</v>
      </c>
      <c r="B72" s="4" t="s">
        <v>147</v>
      </c>
      <c r="C72" s="4" t="s">
        <v>65</v>
      </c>
      <c r="D72" s="4">
        <v>13</v>
      </c>
      <c r="E72" s="4">
        <v>2</v>
      </c>
      <c r="F72" s="4">
        <v>4</v>
      </c>
      <c r="G72" s="5">
        <v>5.7</v>
      </c>
      <c r="H72" s="6" t="s">
        <v>148</v>
      </c>
      <c r="I72" s="6">
        <v>99.9</v>
      </c>
      <c r="J72">
        <v>7.0419030866666672</v>
      </c>
      <c r="K72">
        <f>(J72*0.5)/I72</f>
        <v>3.5244760193526861E-2</v>
      </c>
      <c r="L72">
        <f t="shared" si="8"/>
        <v>20.978999999999999</v>
      </c>
      <c r="M72" s="9">
        <f>J72*0.5/L72</f>
        <v>0.16783219139774697</v>
      </c>
      <c r="N72" s="20">
        <f>(J72*0.5)*100/L72</f>
        <v>16.783219139774697</v>
      </c>
    </row>
    <row r="73" spans="1:14" x14ac:dyDescent="0.25">
      <c r="A73" s="4">
        <v>70</v>
      </c>
      <c r="B73" s="4" t="s">
        <v>149</v>
      </c>
      <c r="C73" s="4" t="s">
        <v>65</v>
      </c>
      <c r="D73" s="4">
        <v>13</v>
      </c>
      <c r="E73" s="4">
        <v>2</v>
      </c>
      <c r="F73" s="4">
        <v>5</v>
      </c>
      <c r="G73" s="5">
        <v>5.8</v>
      </c>
      <c r="H73" s="6" t="s">
        <v>150</v>
      </c>
      <c r="I73" s="6">
        <v>127</v>
      </c>
      <c r="J73">
        <v>7.4920614183333329</v>
      </c>
      <c r="K73">
        <f>(J73*0.5)/I73</f>
        <v>2.9496304796587925E-2</v>
      </c>
      <c r="L73">
        <f t="shared" si="8"/>
        <v>26.67</v>
      </c>
      <c r="M73" s="9">
        <f>J73*0.5/L73</f>
        <v>0.1404585942694663</v>
      </c>
      <c r="N73" s="20">
        <f>(J73*0.5)*100/L73</f>
        <v>14.045859426946629</v>
      </c>
    </row>
    <row r="74" spans="1:14" x14ac:dyDescent="0.25">
      <c r="A74" s="4">
        <v>71</v>
      </c>
      <c r="B74" s="7" t="s">
        <v>151</v>
      </c>
      <c r="C74" s="7" t="s">
        <v>65</v>
      </c>
      <c r="D74" s="7">
        <v>13</v>
      </c>
      <c r="E74" s="7">
        <v>2</v>
      </c>
      <c r="F74" s="7">
        <v>6</v>
      </c>
      <c r="G74" s="8">
        <v>6.3</v>
      </c>
      <c r="H74" s="6" t="s">
        <v>152</v>
      </c>
      <c r="I74" s="6">
        <v>101.1</v>
      </c>
      <c r="M74" s="9"/>
      <c r="N74" s="20"/>
    </row>
    <row r="75" spans="1:14" x14ac:dyDescent="0.25">
      <c r="A75" s="4">
        <v>72</v>
      </c>
      <c r="B75" s="7" t="s">
        <v>153</v>
      </c>
      <c r="C75" s="7" t="s">
        <v>65</v>
      </c>
      <c r="D75" s="7">
        <v>13</v>
      </c>
      <c r="E75" s="7">
        <v>2</v>
      </c>
      <c r="F75" s="7">
        <v>7</v>
      </c>
      <c r="G75" s="8">
        <v>6.25</v>
      </c>
      <c r="H75" s="6" t="s">
        <v>154</v>
      </c>
      <c r="I75" s="6">
        <v>126.6</v>
      </c>
      <c r="M75" s="9"/>
      <c r="N75" s="20"/>
    </row>
    <row r="76" spans="1:14" x14ac:dyDescent="0.25">
      <c r="A76" s="4">
        <v>73</v>
      </c>
      <c r="B76" s="7" t="s">
        <v>155</v>
      </c>
      <c r="C76" s="7" t="s">
        <v>65</v>
      </c>
      <c r="D76" s="7">
        <v>13</v>
      </c>
      <c r="E76" s="7">
        <v>2</v>
      </c>
      <c r="F76" s="7">
        <v>8</v>
      </c>
      <c r="G76" s="8">
        <v>8.5500000000000007</v>
      </c>
      <c r="H76" s="6" t="s">
        <v>156</v>
      </c>
      <c r="I76" s="6">
        <v>106.5</v>
      </c>
      <c r="M76" s="9"/>
      <c r="N76" s="20"/>
    </row>
    <row r="77" spans="1:14" x14ac:dyDescent="0.25">
      <c r="A77" s="4">
        <v>74</v>
      </c>
      <c r="B77" s="4" t="s">
        <v>157</v>
      </c>
      <c r="C77" s="4" t="s">
        <v>65</v>
      </c>
      <c r="D77" s="4">
        <v>54</v>
      </c>
      <c r="E77" s="4">
        <v>9</v>
      </c>
      <c r="F77" s="4">
        <v>1</v>
      </c>
      <c r="G77" s="5">
        <v>6.3</v>
      </c>
      <c r="H77" s="6" t="s">
        <v>158</v>
      </c>
      <c r="I77" s="6">
        <v>111.1</v>
      </c>
      <c r="J77">
        <v>8.0512063283333344</v>
      </c>
      <c r="K77">
        <f>(J77*0.5)/I77</f>
        <v>3.6234051882688273E-2</v>
      </c>
      <c r="L77">
        <f>I77-(I77*77/100)</f>
        <v>25.553000000000011</v>
      </c>
      <c r="M77" s="9">
        <f>J77*0.5/L77</f>
        <v>0.15753935601168809</v>
      </c>
      <c r="N77" s="20">
        <f>(J77*0.5)*100/L77</f>
        <v>15.753935601168806</v>
      </c>
    </row>
    <row r="78" spans="1:14" x14ac:dyDescent="0.25">
      <c r="A78" s="4">
        <v>75</v>
      </c>
      <c r="B78" s="4" t="s">
        <v>159</v>
      </c>
      <c r="C78" s="4" t="s">
        <v>65</v>
      </c>
      <c r="D78" s="4">
        <v>54</v>
      </c>
      <c r="E78" s="4">
        <v>9</v>
      </c>
      <c r="F78" s="4">
        <v>2</v>
      </c>
      <c r="G78" s="5">
        <v>7.25</v>
      </c>
      <c r="H78" s="6" t="s">
        <v>160</v>
      </c>
      <c r="I78" s="6">
        <v>108</v>
      </c>
      <c r="J78">
        <v>7.4406402149999993</v>
      </c>
      <c r="K78">
        <f>(J78*0.5)/I78</f>
        <v>3.4447408402777775E-2</v>
      </c>
      <c r="L78">
        <f t="shared" ref="L78:L97" si="9">I78-(I78*77/100)</f>
        <v>24.840000000000003</v>
      </c>
      <c r="M78" s="9">
        <f>J78*0.5/L78</f>
        <v>0.14977134088164248</v>
      </c>
      <c r="N78" s="20">
        <f>(J78*0.5)*100/L78</f>
        <v>14.977134088164249</v>
      </c>
    </row>
    <row r="79" spans="1:14" x14ac:dyDescent="0.25">
      <c r="A79" s="4">
        <v>76</v>
      </c>
      <c r="B79" s="4" t="s">
        <v>161</v>
      </c>
      <c r="C79" s="4" t="s">
        <v>65</v>
      </c>
      <c r="D79" s="4">
        <v>54</v>
      </c>
      <c r="E79" s="4">
        <v>9</v>
      </c>
      <c r="F79" s="4">
        <v>3</v>
      </c>
      <c r="G79" s="5">
        <v>10.75</v>
      </c>
      <c r="H79" s="6" t="s">
        <v>162</v>
      </c>
      <c r="I79" s="6">
        <v>102.9</v>
      </c>
      <c r="J79">
        <v>6.7354112238499999</v>
      </c>
      <c r="K79">
        <f>(J79*0.5)/I79</f>
        <v>3.2727945694120505E-2</v>
      </c>
      <c r="L79">
        <f t="shared" si="9"/>
        <v>23.667000000000002</v>
      </c>
      <c r="M79" s="9">
        <f>J79*0.5/L79</f>
        <v>0.14229541606139348</v>
      </c>
      <c r="N79" s="20">
        <f>(J79*0.5)*100/L79</f>
        <v>14.22954160613935</v>
      </c>
    </row>
    <row r="80" spans="1:14" x14ac:dyDescent="0.25">
      <c r="A80" s="4">
        <v>77</v>
      </c>
      <c r="B80" s="4" t="s">
        <v>163</v>
      </c>
      <c r="C80" s="4" t="s">
        <v>65</v>
      </c>
      <c r="D80" s="4">
        <v>54</v>
      </c>
      <c r="E80" s="4">
        <v>9</v>
      </c>
      <c r="F80" s="4">
        <v>4</v>
      </c>
      <c r="G80" s="5">
        <v>10</v>
      </c>
      <c r="H80" s="6" t="s">
        <v>164</v>
      </c>
      <c r="I80" s="6">
        <v>118</v>
      </c>
      <c r="J80">
        <v>8.9183052599999986</v>
      </c>
      <c r="K80">
        <f>(J80*0.5)/I80</f>
        <v>3.7789429067796601E-2</v>
      </c>
      <c r="L80">
        <f t="shared" si="9"/>
        <v>27.14</v>
      </c>
      <c r="M80" s="9">
        <f>J80*0.5/L80</f>
        <v>0.16430186551215914</v>
      </c>
      <c r="N80" s="20">
        <f>(J80*0.5)*100/L80</f>
        <v>16.430186551215915</v>
      </c>
    </row>
    <row r="81" spans="1:14" x14ac:dyDescent="0.25">
      <c r="A81" s="4">
        <v>78</v>
      </c>
      <c r="B81" s="4" t="s">
        <v>165</v>
      </c>
      <c r="C81" s="4" t="s">
        <v>65</v>
      </c>
      <c r="D81" s="4">
        <v>54</v>
      </c>
      <c r="E81" s="4">
        <v>9</v>
      </c>
      <c r="F81" s="4">
        <v>5</v>
      </c>
      <c r="G81" s="5">
        <v>8.25</v>
      </c>
      <c r="H81" s="6" t="s">
        <v>166</v>
      </c>
      <c r="I81" s="6">
        <v>121.3</v>
      </c>
      <c r="J81">
        <v>10.298595123333333</v>
      </c>
      <c r="K81">
        <f>(J81*0.5)/I81</f>
        <v>4.2450927960978289E-2</v>
      </c>
      <c r="L81">
        <f t="shared" si="9"/>
        <v>27.898999999999987</v>
      </c>
      <c r="M81" s="9">
        <f>J81*0.5/L81</f>
        <v>0.18456925200425353</v>
      </c>
      <c r="N81" s="20">
        <f>(J81*0.5)*100/L81</f>
        <v>18.456925200425353</v>
      </c>
    </row>
    <row r="82" spans="1:14" x14ac:dyDescent="0.25">
      <c r="A82" s="4">
        <v>79</v>
      </c>
      <c r="B82" s="7" t="s">
        <v>167</v>
      </c>
      <c r="C82" s="7" t="s">
        <v>65</v>
      </c>
      <c r="D82" s="7">
        <v>54</v>
      </c>
      <c r="E82" s="7">
        <v>9</v>
      </c>
      <c r="F82" s="7">
        <v>6</v>
      </c>
      <c r="G82" s="8">
        <v>6.35</v>
      </c>
      <c r="H82" s="6" t="s">
        <v>168</v>
      </c>
      <c r="I82" s="6">
        <v>111.4</v>
      </c>
      <c r="M82" s="9"/>
      <c r="N82" s="20"/>
    </row>
    <row r="83" spans="1:14" x14ac:dyDescent="0.25">
      <c r="A83" s="4">
        <v>80</v>
      </c>
      <c r="B83" s="7" t="s">
        <v>169</v>
      </c>
      <c r="C83" s="7" t="s">
        <v>65</v>
      </c>
      <c r="D83" s="7">
        <v>54</v>
      </c>
      <c r="E83" s="7">
        <v>9</v>
      </c>
      <c r="F83" s="7">
        <v>7</v>
      </c>
      <c r="G83" s="8">
        <v>4.7</v>
      </c>
      <c r="H83" s="6" t="s">
        <v>170</v>
      </c>
      <c r="I83" s="6">
        <v>100.1</v>
      </c>
      <c r="M83" s="9"/>
      <c r="N83" s="20"/>
    </row>
    <row r="84" spans="1:14" x14ac:dyDescent="0.25">
      <c r="A84" s="4">
        <v>81</v>
      </c>
      <c r="B84" s="7" t="s">
        <v>171</v>
      </c>
      <c r="C84" s="7" t="s">
        <v>65</v>
      </c>
      <c r="D84" s="7">
        <v>54</v>
      </c>
      <c r="E84" s="7">
        <v>9</v>
      </c>
      <c r="F84" s="7">
        <v>8</v>
      </c>
      <c r="G84" s="8">
        <v>6.6</v>
      </c>
      <c r="H84" s="6" t="s">
        <v>172</v>
      </c>
      <c r="I84" s="6">
        <v>110.8</v>
      </c>
      <c r="M84" s="9"/>
      <c r="N84" s="20"/>
    </row>
    <row r="85" spans="1:14" x14ac:dyDescent="0.25">
      <c r="A85" s="4">
        <v>82</v>
      </c>
      <c r="B85" s="4" t="s">
        <v>173</v>
      </c>
      <c r="C85" s="4" t="s">
        <v>65</v>
      </c>
      <c r="D85" s="4">
        <v>54</v>
      </c>
      <c r="E85" s="4">
        <v>6</v>
      </c>
      <c r="F85" s="4">
        <v>1</v>
      </c>
      <c r="G85" s="5">
        <v>5.9</v>
      </c>
      <c r="H85" s="6" t="s">
        <v>174</v>
      </c>
      <c r="I85" s="6">
        <v>119.5</v>
      </c>
      <c r="J85">
        <v>7.6352437256666663</v>
      </c>
      <c r="K85">
        <f>(J85*0.5)/I85</f>
        <v>3.1946626467224543E-2</v>
      </c>
      <c r="L85">
        <f t="shared" si="9"/>
        <v>27.484999999999999</v>
      </c>
      <c r="M85" s="9">
        <f>J85*0.5/L85</f>
        <v>0.13889837594445456</v>
      </c>
      <c r="N85" s="20">
        <f>(J85*0.5)*100/L85</f>
        <v>13.889837594445455</v>
      </c>
    </row>
    <row r="86" spans="1:14" x14ac:dyDescent="0.25">
      <c r="A86" s="4">
        <v>83</v>
      </c>
      <c r="B86" s="4" t="s">
        <v>175</v>
      </c>
      <c r="C86" s="4" t="s">
        <v>65</v>
      </c>
      <c r="D86" s="4">
        <v>54</v>
      </c>
      <c r="E86" s="4">
        <v>6</v>
      </c>
      <c r="F86" s="4">
        <v>2</v>
      </c>
      <c r="G86" s="5">
        <v>7.45</v>
      </c>
      <c r="H86" s="6" t="s">
        <v>176</v>
      </c>
      <c r="I86" s="6">
        <v>101.8</v>
      </c>
      <c r="J86">
        <v>6.6407197183333331</v>
      </c>
      <c r="K86">
        <f>(J86*0.5)/I86</f>
        <v>3.2616501563523248E-2</v>
      </c>
      <c r="L86">
        <f t="shared" si="9"/>
        <v>23.414000000000001</v>
      </c>
      <c r="M86" s="9">
        <f>J86*0.5/L86</f>
        <v>0.14181087636314454</v>
      </c>
      <c r="N86" s="20">
        <f>(J86*0.5)*100/L86</f>
        <v>14.181087636314455</v>
      </c>
    </row>
    <row r="87" spans="1:14" x14ac:dyDescent="0.25">
      <c r="A87" s="4">
        <v>84</v>
      </c>
      <c r="B87" s="4" t="s">
        <v>177</v>
      </c>
      <c r="C87" s="4" t="s">
        <v>65</v>
      </c>
      <c r="D87" s="4">
        <v>54</v>
      </c>
      <c r="E87" s="4">
        <v>6</v>
      </c>
      <c r="F87" s="4">
        <v>3</v>
      </c>
      <c r="G87" s="5">
        <v>6</v>
      </c>
      <c r="H87" s="6" t="s">
        <v>178</v>
      </c>
      <c r="I87" s="6">
        <v>97</v>
      </c>
      <c r="J87">
        <v>6.3667408333333322</v>
      </c>
      <c r="K87">
        <f>(J87*0.5)/I87</f>
        <v>3.2818251718213051E-2</v>
      </c>
      <c r="L87">
        <f t="shared" si="9"/>
        <v>22.310000000000002</v>
      </c>
      <c r="M87" s="9">
        <f>J87*0.5/L87</f>
        <v>0.14268805094875239</v>
      </c>
      <c r="N87" s="20">
        <f>(J87*0.5)*100/L87</f>
        <v>14.268805094875239</v>
      </c>
    </row>
    <row r="88" spans="1:14" x14ac:dyDescent="0.25">
      <c r="A88" s="4">
        <v>85</v>
      </c>
      <c r="B88" s="4" t="s">
        <v>179</v>
      </c>
      <c r="C88" s="4" t="s">
        <v>65</v>
      </c>
      <c r="D88" s="4">
        <v>54</v>
      </c>
      <c r="E88" s="4">
        <v>6</v>
      </c>
      <c r="F88" s="4">
        <v>4</v>
      </c>
      <c r="G88" s="5">
        <v>5.05</v>
      </c>
      <c r="H88" s="6" t="s">
        <v>180</v>
      </c>
      <c r="I88" s="6">
        <v>126.7</v>
      </c>
      <c r="J88">
        <v>8.1696197500000007</v>
      </c>
      <c r="K88">
        <f>(J88*0.5)/I88</f>
        <v>3.2240014798737178E-2</v>
      </c>
      <c r="L88">
        <f t="shared" si="9"/>
        <v>29.141000000000005</v>
      </c>
      <c r="M88" s="9">
        <f>J88*0.5/L88</f>
        <v>0.14017397738581377</v>
      </c>
      <c r="N88" s="20">
        <f>(J88*0.5)*100/L88</f>
        <v>14.017397738581378</v>
      </c>
    </row>
    <row r="89" spans="1:14" x14ac:dyDescent="0.25">
      <c r="A89" s="4">
        <v>86</v>
      </c>
      <c r="B89" s="4" t="s">
        <v>181</v>
      </c>
      <c r="C89" s="4" t="s">
        <v>65</v>
      </c>
      <c r="D89" s="4">
        <v>54</v>
      </c>
      <c r="E89" s="4">
        <v>6</v>
      </c>
      <c r="F89" s="4">
        <v>5</v>
      </c>
      <c r="G89" s="5">
        <v>8.9</v>
      </c>
      <c r="H89" s="6" t="s">
        <v>182</v>
      </c>
      <c r="I89" s="6">
        <v>115</v>
      </c>
      <c r="J89">
        <v>8.7629110553</v>
      </c>
      <c r="K89">
        <f>(J89*0.5)/I89</f>
        <v>3.8099613283913043E-2</v>
      </c>
      <c r="L89">
        <f t="shared" si="9"/>
        <v>26.450000000000003</v>
      </c>
      <c r="M89" s="9">
        <f>J89*0.5/L89</f>
        <v>0.16565049253875236</v>
      </c>
      <c r="N89" s="20">
        <f>(J89*0.5)*100/L89</f>
        <v>16.565049253875234</v>
      </c>
    </row>
    <row r="90" spans="1:14" x14ac:dyDescent="0.25">
      <c r="A90" s="4">
        <v>87</v>
      </c>
      <c r="B90" s="7" t="s">
        <v>183</v>
      </c>
      <c r="C90" s="7" t="s">
        <v>65</v>
      </c>
      <c r="D90" s="7">
        <v>54</v>
      </c>
      <c r="E90" s="7">
        <v>6</v>
      </c>
      <c r="F90" s="7">
        <v>6</v>
      </c>
      <c r="G90" s="8">
        <v>8.6</v>
      </c>
      <c r="H90" s="6" t="s">
        <v>184</v>
      </c>
      <c r="I90" s="6">
        <v>106.1</v>
      </c>
      <c r="M90" s="9"/>
      <c r="N90" s="20"/>
    </row>
    <row r="91" spans="1:14" x14ac:dyDescent="0.25">
      <c r="A91" s="4">
        <v>88</v>
      </c>
      <c r="B91" s="7" t="s">
        <v>185</v>
      </c>
      <c r="C91" s="7" t="s">
        <v>65</v>
      </c>
      <c r="D91" s="7">
        <v>54</v>
      </c>
      <c r="E91" s="7">
        <v>6</v>
      </c>
      <c r="F91" s="7">
        <v>7</v>
      </c>
      <c r="G91" s="8">
        <v>6.7</v>
      </c>
      <c r="H91" s="6" t="s">
        <v>186</v>
      </c>
      <c r="I91" s="6">
        <v>133.30000000000001</v>
      </c>
      <c r="M91" s="9"/>
      <c r="N91" s="20"/>
    </row>
    <row r="92" spans="1:14" x14ac:dyDescent="0.25">
      <c r="A92" s="4">
        <v>89</v>
      </c>
      <c r="B92" s="7" t="s">
        <v>187</v>
      </c>
      <c r="C92" s="7" t="s">
        <v>65</v>
      </c>
      <c r="D92" s="7">
        <v>54</v>
      </c>
      <c r="E92" s="7">
        <v>6</v>
      </c>
      <c r="F92" s="7">
        <v>8</v>
      </c>
      <c r="G92" s="8">
        <v>6</v>
      </c>
      <c r="H92" s="6" t="s">
        <v>188</v>
      </c>
      <c r="I92" s="6">
        <v>100.6</v>
      </c>
      <c r="M92" s="9"/>
      <c r="N92" s="20"/>
    </row>
    <row r="93" spans="1:14" x14ac:dyDescent="0.25">
      <c r="A93" s="4">
        <v>90</v>
      </c>
      <c r="B93" s="4" t="s">
        <v>189</v>
      </c>
      <c r="C93" s="4" t="s">
        <v>65</v>
      </c>
      <c r="D93" s="4">
        <v>54</v>
      </c>
      <c r="E93" s="4">
        <v>8</v>
      </c>
      <c r="F93" s="4">
        <v>1</v>
      </c>
      <c r="G93" s="5">
        <v>6.65</v>
      </c>
      <c r="H93" s="6" t="s">
        <v>190</v>
      </c>
      <c r="I93" s="6">
        <v>117.8</v>
      </c>
      <c r="J93">
        <v>7.9827493721499989</v>
      </c>
      <c r="K93">
        <f>(J93*0.5)/I93</f>
        <v>3.3882637403013581E-2</v>
      </c>
      <c r="L93">
        <f t="shared" si="9"/>
        <v>27.093999999999994</v>
      </c>
      <c r="M93" s="9">
        <f>J93*0.5/L93</f>
        <v>0.14731581479571124</v>
      </c>
      <c r="N93" s="20">
        <f>(J93*0.5)*100/L93</f>
        <v>14.731581479571124</v>
      </c>
    </row>
    <row r="94" spans="1:14" x14ac:dyDescent="0.25">
      <c r="A94" s="4">
        <v>91</v>
      </c>
      <c r="B94" s="4" t="s">
        <v>191</v>
      </c>
      <c r="C94" s="4" t="s">
        <v>65</v>
      </c>
      <c r="D94" s="4">
        <v>54</v>
      </c>
      <c r="E94" s="4">
        <v>8</v>
      </c>
      <c r="F94" s="4">
        <v>2</v>
      </c>
      <c r="G94" s="5">
        <v>7.55</v>
      </c>
      <c r="H94" s="6" t="s">
        <v>192</v>
      </c>
      <c r="I94" s="6">
        <v>100</v>
      </c>
      <c r="J94">
        <v>8.0522002266666668</v>
      </c>
      <c r="K94">
        <f>(J94*0.5)/I94</f>
        <v>4.0261001133333335E-2</v>
      </c>
      <c r="L94">
        <f t="shared" si="9"/>
        <v>23</v>
      </c>
      <c r="M94" s="9">
        <f>J94*0.5/L94</f>
        <v>0.17504783101449276</v>
      </c>
      <c r="N94" s="20">
        <f>(J94*0.5)*100/L94</f>
        <v>17.504783101449274</v>
      </c>
    </row>
    <row r="95" spans="1:14" x14ac:dyDescent="0.25">
      <c r="A95" s="4">
        <v>92</v>
      </c>
      <c r="B95" s="4" t="s">
        <v>193</v>
      </c>
      <c r="C95" s="4" t="s">
        <v>65</v>
      </c>
      <c r="D95" s="4">
        <v>54</v>
      </c>
      <c r="E95" s="4">
        <v>8</v>
      </c>
      <c r="F95" s="4">
        <v>3</v>
      </c>
      <c r="G95" s="5">
        <v>9.6</v>
      </c>
      <c r="H95" s="6" t="s">
        <v>194</v>
      </c>
      <c r="I95" s="6">
        <v>103.6</v>
      </c>
      <c r="J95">
        <v>6.5387154783333337</v>
      </c>
      <c r="K95">
        <f>(J95*0.5)/I95</f>
        <v>3.1557507134813388E-2</v>
      </c>
      <c r="L95">
        <f t="shared" si="9"/>
        <v>23.828000000000003</v>
      </c>
      <c r="M95" s="9">
        <f>J95*0.5/L95</f>
        <v>0.13720655276005819</v>
      </c>
      <c r="N95" s="20">
        <f>(J95*0.5)*100/L95</f>
        <v>13.720655276005818</v>
      </c>
    </row>
    <row r="96" spans="1:14" x14ac:dyDescent="0.25">
      <c r="A96" s="4">
        <v>93</v>
      </c>
      <c r="B96" s="4" t="s">
        <v>195</v>
      </c>
      <c r="C96" s="4" t="s">
        <v>65</v>
      </c>
      <c r="D96" s="4">
        <v>54</v>
      </c>
      <c r="E96" s="4">
        <v>8</v>
      </c>
      <c r="F96" s="4">
        <v>4</v>
      </c>
      <c r="G96" s="5">
        <v>7.3</v>
      </c>
      <c r="H96" s="6" t="s">
        <v>196</v>
      </c>
      <c r="I96" s="6">
        <v>101.6</v>
      </c>
      <c r="J96">
        <v>7.487118774999999</v>
      </c>
      <c r="K96">
        <f>(J96*0.5)/I96</f>
        <v>3.6846056963582674E-2</v>
      </c>
      <c r="L96">
        <f t="shared" si="9"/>
        <v>23.367999999999995</v>
      </c>
      <c r="M96" s="9">
        <f>J96*0.5/L96</f>
        <v>0.16020024766775079</v>
      </c>
      <c r="N96" s="20">
        <f>(J96*0.5)*100/L96</f>
        <v>16.020024766775077</v>
      </c>
    </row>
    <row r="97" spans="1:14" x14ac:dyDescent="0.25">
      <c r="A97" s="4">
        <v>94</v>
      </c>
      <c r="B97" s="4" t="s">
        <v>197</v>
      </c>
      <c r="C97" s="4" t="s">
        <v>65</v>
      </c>
      <c r="D97" s="4">
        <v>54</v>
      </c>
      <c r="E97" s="4">
        <v>8</v>
      </c>
      <c r="F97" s="4">
        <v>5</v>
      </c>
      <c r="G97" s="5">
        <v>6.55</v>
      </c>
      <c r="H97" s="6" t="s">
        <v>198</v>
      </c>
      <c r="I97" s="6">
        <v>121.3</v>
      </c>
      <c r="J97">
        <v>9.2288416933333348</v>
      </c>
      <c r="K97">
        <f>(J97*0.5)/I97</f>
        <v>3.8041391975817539E-2</v>
      </c>
      <c r="L97">
        <f t="shared" si="9"/>
        <v>27.898999999999987</v>
      </c>
      <c r="M97" s="9">
        <f>J97*0.5/L97</f>
        <v>0.16539735641659808</v>
      </c>
      <c r="N97" s="20">
        <f>(J97*0.5)*100/L97</f>
        <v>16.539735641659806</v>
      </c>
    </row>
    <row r="98" spans="1:14" x14ac:dyDescent="0.25">
      <c r="A98" s="4">
        <v>95</v>
      </c>
      <c r="B98" s="7" t="s">
        <v>199</v>
      </c>
      <c r="C98" s="7" t="s">
        <v>65</v>
      </c>
      <c r="D98" s="7">
        <v>54</v>
      </c>
      <c r="E98" s="7">
        <v>8</v>
      </c>
      <c r="F98" s="7">
        <v>6</v>
      </c>
      <c r="G98" s="8">
        <v>6.85</v>
      </c>
      <c r="H98" s="6" t="s">
        <v>200</v>
      </c>
      <c r="I98" s="6">
        <v>118.6</v>
      </c>
      <c r="M98" s="9"/>
      <c r="N98" s="20"/>
    </row>
    <row r="99" spans="1:14" x14ac:dyDescent="0.25">
      <c r="A99" s="4">
        <v>96</v>
      </c>
      <c r="B99" s="7" t="s">
        <v>201</v>
      </c>
      <c r="C99" s="7" t="s">
        <v>65</v>
      </c>
      <c r="D99" s="7">
        <v>54</v>
      </c>
      <c r="E99" s="7">
        <v>8</v>
      </c>
      <c r="F99" s="7">
        <v>7</v>
      </c>
      <c r="G99" s="8">
        <v>8.15</v>
      </c>
      <c r="H99" s="6" t="s">
        <v>202</v>
      </c>
      <c r="I99" s="6">
        <v>125.6</v>
      </c>
      <c r="M99" s="9"/>
      <c r="N99" s="20"/>
    </row>
    <row r="100" spans="1:14" x14ac:dyDescent="0.25">
      <c r="A100" s="4">
        <v>97</v>
      </c>
      <c r="B100" s="7" t="s">
        <v>203</v>
      </c>
      <c r="C100" s="7" t="s">
        <v>65</v>
      </c>
      <c r="D100" s="7">
        <v>54</v>
      </c>
      <c r="E100" s="7">
        <v>8</v>
      </c>
      <c r="F100" s="7">
        <v>8</v>
      </c>
      <c r="G100" s="8">
        <v>6.4</v>
      </c>
      <c r="H100" s="6" t="s">
        <v>204</v>
      </c>
      <c r="I100" s="6">
        <v>97.6</v>
      </c>
      <c r="M100" s="9"/>
      <c r="N100" s="20"/>
    </row>
  </sheetData>
  <mergeCells count="2">
    <mergeCell ref="A1:G2"/>
    <mergeCell ref="H2:I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5544-E0F5-4924-B4FF-D740DF016621}">
  <dimension ref="A1:Y100"/>
  <sheetViews>
    <sheetView topLeftCell="K2" workbookViewId="0">
      <selection activeCell="P4" sqref="P4"/>
    </sheetView>
  </sheetViews>
  <sheetFormatPr defaultRowHeight="15" x14ac:dyDescent="0.25"/>
  <cols>
    <col min="7" max="7" width="18.28515625" customWidth="1"/>
    <col min="8" max="8" width="16.85546875" customWidth="1"/>
    <col min="9" max="9" width="15" customWidth="1"/>
    <col min="10" max="10" width="16.7109375" bestFit="1" customWidth="1"/>
    <col min="11" max="11" width="22" bestFit="1" customWidth="1"/>
    <col min="12" max="12" width="16.5703125" bestFit="1" customWidth="1"/>
    <col min="13" max="13" width="43.42578125" bestFit="1" customWidth="1"/>
    <col min="14" max="14" width="24.85546875" bestFit="1" customWidth="1"/>
    <col min="15" max="15" width="42.5703125" customWidth="1"/>
    <col min="16" max="16" width="14.85546875" bestFit="1" customWidth="1"/>
  </cols>
  <sheetData>
    <row r="1" spans="1:25" x14ac:dyDescent="0.25">
      <c r="A1" s="27" t="s">
        <v>0</v>
      </c>
      <c r="B1" s="27"/>
      <c r="C1" s="27"/>
      <c r="D1" s="27"/>
      <c r="E1" s="27"/>
      <c r="F1" s="27"/>
      <c r="G1" s="27"/>
    </row>
    <row r="2" spans="1:25" x14ac:dyDescent="0.25">
      <c r="A2" s="27"/>
      <c r="B2" s="27"/>
      <c r="C2" s="27"/>
      <c r="D2" s="27"/>
      <c r="E2" s="27"/>
      <c r="F2" s="27"/>
      <c r="G2" s="27"/>
      <c r="H2" s="29" t="s">
        <v>212</v>
      </c>
      <c r="I2" s="29"/>
    </row>
    <row r="3" spans="1:2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315</v>
      </c>
      <c r="G3" s="2" t="s">
        <v>7</v>
      </c>
      <c r="H3" s="12" t="s">
        <v>213</v>
      </c>
      <c r="I3" s="12" t="s">
        <v>214</v>
      </c>
      <c r="J3" s="11" t="s">
        <v>312</v>
      </c>
      <c r="K3" s="11" t="s">
        <v>313</v>
      </c>
      <c r="L3" s="11" t="s">
        <v>314</v>
      </c>
      <c r="M3" s="11" t="s">
        <v>430</v>
      </c>
      <c r="N3" s="11" t="s">
        <v>431</v>
      </c>
      <c r="O3" s="21" t="s">
        <v>434</v>
      </c>
      <c r="P3" s="19" t="s">
        <v>432</v>
      </c>
      <c r="S3" s="11"/>
      <c r="T3" s="11" t="s">
        <v>9</v>
      </c>
      <c r="U3" s="11"/>
      <c r="V3" s="11"/>
      <c r="W3" s="11" t="s">
        <v>65</v>
      </c>
      <c r="X3" s="11"/>
      <c r="Y3" s="11"/>
    </row>
    <row r="4" spans="1:25" x14ac:dyDescent="0.25">
      <c r="A4" s="4">
        <v>1</v>
      </c>
      <c r="B4" s="4" t="s">
        <v>8</v>
      </c>
      <c r="C4" s="4" t="s">
        <v>9</v>
      </c>
      <c r="D4" s="4" t="s">
        <v>10</v>
      </c>
      <c r="E4" s="4">
        <v>1</v>
      </c>
      <c r="F4" s="4">
        <v>1</v>
      </c>
      <c r="G4" s="5">
        <v>6.65</v>
      </c>
      <c r="H4" s="13" t="s">
        <v>215</v>
      </c>
      <c r="I4" s="13">
        <v>116.7</v>
      </c>
      <c r="J4">
        <v>2651.45</v>
      </c>
      <c r="K4">
        <v>2653.38</v>
      </c>
      <c r="L4">
        <f>K4-J4</f>
        <v>1.930000000000291</v>
      </c>
      <c r="M4">
        <f>L4/I4</f>
        <v>1.6538131962298981E-2</v>
      </c>
      <c r="N4">
        <f>I4-(I4*76/100)</f>
        <v>28.007999999999996</v>
      </c>
      <c r="O4" s="9">
        <f>L4/N4</f>
        <v>6.8908883176245758E-2</v>
      </c>
      <c r="P4" s="20">
        <f>L4*100/N4</f>
        <v>6.8908883176245768</v>
      </c>
      <c r="S4" s="11" t="s">
        <v>4</v>
      </c>
      <c r="T4" s="11" t="s">
        <v>208</v>
      </c>
      <c r="U4" s="11" t="s">
        <v>209</v>
      </c>
      <c r="V4" s="11" t="s">
        <v>210</v>
      </c>
      <c r="W4" s="11" t="s">
        <v>208</v>
      </c>
      <c r="X4" s="11" t="s">
        <v>209</v>
      </c>
      <c r="Y4" s="11" t="s">
        <v>210</v>
      </c>
    </row>
    <row r="5" spans="1:25" x14ac:dyDescent="0.25">
      <c r="A5" s="4">
        <v>2</v>
      </c>
      <c r="B5" s="4" t="s">
        <v>12</v>
      </c>
      <c r="C5" s="4" t="s">
        <v>9</v>
      </c>
      <c r="D5" s="4" t="s">
        <v>10</v>
      </c>
      <c r="E5" s="4">
        <v>1</v>
      </c>
      <c r="F5" s="4">
        <v>2</v>
      </c>
      <c r="G5" s="5">
        <v>5.45</v>
      </c>
      <c r="H5" s="13" t="s">
        <v>216</v>
      </c>
      <c r="I5" s="13">
        <v>102</v>
      </c>
      <c r="J5">
        <v>2811.03</v>
      </c>
      <c r="K5">
        <v>2811.76</v>
      </c>
      <c r="L5">
        <f t="shared" ref="L5:L66" si="0">K5-J5</f>
        <v>0.73000000000001819</v>
      </c>
      <c r="M5">
        <f t="shared" ref="M5:M66" si="1">L5/I5</f>
        <v>7.1568627450982174E-3</v>
      </c>
      <c r="N5">
        <f t="shared" ref="N5:N30" si="2">I5-(I5*76/100)</f>
        <v>24.480000000000004</v>
      </c>
      <c r="O5" s="9">
        <f t="shared" ref="O5:O68" si="3">L5/N5</f>
        <v>2.9820261437909234E-2</v>
      </c>
      <c r="P5" s="20">
        <f t="shared" ref="P5:P68" si="4">L5*100/N5</f>
        <v>2.9820261437909235</v>
      </c>
      <c r="S5" t="s">
        <v>10</v>
      </c>
      <c r="T5">
        <f>AVERAGE(M4:M12)</f>
        <v>1.5149973106295851E-2</v>
      </c>
      <c r="U5">
        <f>STDEVA(M4:M12)</f>
        <v>4.0238149141059399E-3</v>
      </c>
      <c r="V5">
        <f>U5/SQRT(9)</f>
        <v>1.3412716380353134E-3</v>
      </c>
      <c r="W5">
        <f>AVERAGE(M31:M35,M39:M43,M47:M51)</f>
        <v>1.1519520231725353E-2</v>
      </c>
      <c r="X5">
        <f>STDEVA(M31:M35,M39:M43,M47:M51)</f>
        <v>1.4240819852892389E-3</v>
      </c>
      <c r="Y5">
        <f>X5/SQRT(14)</f>
        <v>3.8060191997351284E-4</v>
      </c>
    </row>
    <row r="6" spans="1:25" x14ac:dyDescent="0.25">
      <c r="A6" s="4">
        <v>3</v>
      </c>
      <c r="B6" s="4" t="s">
        <v>14</v>
      </c>
      <c r="C6" s="4" t="s">
        <v>9</v>
      </c>
      <c r="D6" s="4" t="s">
        <v>10</v>
      </c>
      <c r="E6" s="4">
        <v>1</v>
      </c>
      <c r="F6" s="4">
        <v>3</v>
      </c>
      <c r="G6" s="5">
        <v>5.75</v>
      </c>
      <c r="H6" s="13" t="s">
        <v>217</v>
      </c>
      <c r="I6" s="13">
        <v>108.5</v>
      </c>
      <c r="J6">
        <v>2729.11</v>
      </c>
      <c r="K6">
        <v>2730.73</v>
      </c>
      <c r="L6">
        <f t="shared" si="0"/>
        <v>1.6199999999998909</v>
      </c>
      <c r="M6">
        <f t="shared" si="1"/>
        <v>1.4930875576035861E-2</v>
      </c>
      <c r="N6">
        <f t="shared" si="2"/>
        <v>26.040000000000006</v>
      </c>
      <c r="O6" s="9">
        <f t="shared" si="3"/>
        <v>6.2211981566816073E-2</v>
      </c>
      <c r="P6" s="20">
        <f t="shared" si="4"/>
        <v>6.2211981566816075</v>
      </c>
      <c r="S6">
        <v>13</v>
      </c>
      <c r="T6">
        <f>AVERAGE(M13:M21)</f>
        <v>1.41431130709537E-2</v>
      </c>
      <c r="U6">
        <f>STDEVA(M13:M21)</f>
        <v>1.2694804186610528E-3</v>
      </c>
      <c r="V6">
        <f t="shared" ref="V6:V7" si="5">U6/SQRT(9)</f>
        <v>4.2316013955368426E-4</v>
      </c>
      <c r="W6">
        <f>AVERAGE(M55:M59,M62:M66,M69:M73)</f>
        <v>1.2037867438153528E-2</v>
      </c>
      <c r="X6">
        <f>STDEVA(M55:M59,M62:M66,M69:M73)</f>
        <v>1.923456552193017E-3</v>
      </c>
      <c r="Y6">
        <f t="shared" ref="Y6" si="6">X6/SQRT(15)</f>
        <v>4.9663434625313947E-4</v>
      </c>
    </row>
    <row r="7" spans="1:25" x14ac:dyDescent="0.25">
      <c r="A7" s="4">
        <v>4</v>
      </c>
      <c r="B7" s="4" t="s">
        <v>16</v>
      </c>
      <c r="C7" s="4" t="s">
        <v>9</v>
      </c>
      <c r="D7" s="4" t="s">
        <v>10</v>
      </c>
      <c r="E7" s="4">
        <v>4</v>
      </c>
      <c r="F7" s="4">
        <v>1</v>
      </c>
      <c r="G7" s="5">
        <v>7.5</v>
      </c>
      <c r="H7" s="13" t="s">
        <v>218</v>
      </c>
      <c r="I7" s="13">
        <v>96.3</v>
      </c>
      <c r="J7">
        <v>2781.1</v>
      </c>
      <c r="K7">
        <v>2782.6</v>
      </c>
      <c r="L7">
        <f t="shared" si="0"/>
        <v>1.5</v>
      </c>
      <c r="M7">
        <f t="shared" si="1"/>
        <v>1.5576323987538941E-2</v>
      </c>
      <c r="N7">
        <f t="shared" si="2"/>
        <v>23.111999999999995</v>
      </c>
      <c r="O7" s="9">
        <f t="shared" si="3"/>
        <v>6.4901349948078932E-2</v>
      </c>
      <c r="P7" s="20">
        <f t="shared" si="4"/>
        <v>6.4901349948078932</v>
      </c>
      <c r="S7">
        <v>54</v>
      </c>
      <c r="T7">
        <f>AVERAGE(M22:M30)</f>
        <v>1.5763474812920585E-2</v>
      </c>
      <c r="U7">
        <f>STDEVA(M22:M30)</f>
        <v>3.4565961531551662E-3</v>
      </c>
      <c r="V7">
        <f t="shared" si="5"/>
        <v>1.1521987177183887E-3</v>
      </c>
      <c r="W7">
        <f>AVERAGE(M77:M81,M85:M89,M93:M97)</f>
        <v>1.3201477381393389E-2</v>
      </c>
      <c r="X7">
        <f>STDEVA(M77:M81,M85:M89,M93:M97)</f>
        <v>1.8289296338188882E-3</v>
      </c>
      <c r="Y7">
        <f>X7/SQRT(14)</f>
        <v>4.8880200530487165E-4</v>
      </c>
    </row>
    <row r="8" spans="1:25" x14ac:dyDescent="0.25">
      <c r="A8" s="4">
        <v>5</v>
      </c>
      <c r="B8" s="4" t="s">
        <v>18</v>
      </c>
      <c r="C8" s="4" t="s">
        <v>9</v>
      </c>
      <c r="D8" s="4" t="s">
        <v>10</v>
      </c>
      <c r="E8" s="4">
        <v>4</v>
      </c>
      <c r="F8" s="4">
        <v>2</v>
      </c>
      <c r="G8" s="5">
        <v>7.3</v>
      </c>
      <c r="H8" s="13" t="s">
        <v>219</v>
      </c>
      <c r="I8" s="13">
        <v>115.9</v>
      </c>
      <c r="J8">
        <v>2760.5</v>
      </c>
      <c r="K8">
        <v>2761.88</v>
      </c>
      <c r="L8">
        <f t="shared" si="0"/>
        <v>1.3800000000001091</v>
      </c>
      <c r="M8">
        <f t="shared" si="1"/>
        <v>1.190681622088101E-2</v>
      </c>
      <c r="N8">
        <f t="shared" si="2"/>
        <v>27.816000000000003</v>
      </c>
      <c r="O8" s="9">
        <f t="shared" si="3"/>
        <v>4.9611734253670874E-2</v>
      </c>
      <c r="P8" s="20">
        <f t="shared" si="4"/>
        <v>4.9611734253670869</v>
      </c>
    </row>
    <row r="9" spans="1:25" x14ac:dyDescent="0.25">
      <c r="A9" s="4">
        <v>6</v>
      </c>
      <c r="B9" s="4" t="s">
        <v>20</v>
      </c>
      <c r="C9" s="4" t="s">
        <v>9</v>
      </c>
      <c r="D9" s="4" t="s">
        <v>10</v>
      </c>
      <c r="E9" s="4">
        <v>4</v>
      </c>
      <c r="F9" s="4">
        <v>3</v>
      </c>
      <c r="G9" s="5">
        <v>5.35</v>
      </c>
      <c r="H9" s="13" t="s">
        <v>220</v>
      </c>
      <c r="I9" s="13">
        <v>100.3</v>
      </c>
      <c r="J9">
        <v>2744.02</v>
      </c>
      <c r="K9">
        <v>2746.25</v>
      </c>
      <c r="L9">
        <f t="shared" si="0"/>
        <v>2.2300000000000182</v>
      </c>
      <c r="M9">
        <f t="shared" si="1"/>
        <v>2.2233300099701078E-2</v>
      </c>
      <c r="N9">
        <f t="shared" si="2"/>
        <v>24.071999999999989</v>
      </c>
      <c r="O9" s="9">
        <f t="shared" si="3"/>
        <v>9.2638750415421203E-2</v>
      </c>
      <c r="P9" s="20">
        <f t="shared" si="4"/>
        <v>9.2638750415421214</v>
      </c>
    </row>
    <row r="10" spans="1:25" x14ac:dyDescent="0.25">
      <c r="A10" s="4">
        <v>7</v>
      </c>
      <c r="B10" s="4" t="s">
        <v>22</v>
      </c>
      <c r="C10" s="4" t="s">
        <v>9</v>
      </c>
      <c r="D10" s="4" t="s">
        <v>10</v>
      </c>
      <c r="E10" s="4">
        <v>7</v>
      </c>
      <c r="F10" s="4">
        <v>1</v>
      </c>
      <c r="G10" s="5">
        <v>6.3</v>
      </c>
      <c r="H10" s="13" t="s">
        <v>221</v>
      </c>
      <c r="I10" s="13">
        <v>105.1</v>
      </c>
      <c r="J10">
        <v>2731.91</v>
      </c>
      <c r="K10">
        <v>2733.54</v>
      </c>
      <c r="L10">
        <f t="shared" si="0"/>
        <v>1.6300000000001091</v>
      </c>
      <c r="M10">
        <f t="shared" si="1"/>
        <v>1.5509039010467261E-2</v>
      </c>
      <c r="N10">
        <f t="shared" si="2"/>
        <v>25.224000000000004</v>
      </c>
      <c r="O10" s="9">
        <f t="shared" si="3"/>
        <v>6.4620995876946918E-2</v>
      </c>
      <c r="P10" s="20">
        <f t="shared" si="4"/>
        <v>6.4620995876946914</v>
      </c>
    </row>
    <row r="11" spans="1:25" x14ac:dyDescent="0.25">
      <c r="A11" s="4">
        <v>8</v>
      </c>
      <c r="B11" s="4" t="s">
        <v>24</v>
      </c>
      <c r="C11" s="4" t="s">
        <v>9</v>
      </c>
      <c r="D11" s="4" t="s">
        <v>10</v>
      </c>
      <c r="E11" s="4">
        <v>7</v>
      </c>
      <c r="F11" s="4">
        <v>2</v>
      </c>
      <c r="G11" s="5">
        <v>5.75</v>
      </c>
      <c r="H11" s="13" t="s">
        <v>222</v>
      </c>
      <c r="I11" s="13">
        <v>115.1</v>
      </c>
      <c r="J11">
        <v>2621.36</v>
      </c>
      <c r="K11">
        <v>2623.19</v>
      </c>
      <c r="L11">
        <f t="shared" si="0"/>
        <v>1.8299999999999272</v>
      </c>
      <c r="M11">
        <f t="shared" si="1"/>
        <v>1.5899218071241766E-2</v>
      </c>
      <c r="N11">
        <f t="shared" si="2"/>
        <v>27.623999999999995</v>
      </c>
      <c r="O11" s="9">
        <f t="shared" si="3"/>
        <v>6.6246741963507369E-2</v>
      </c>
      <c r="P11" s="20">
        <f t="shared" si="4"/>
        <v>6.6246741963507372</v>
      </c>
    </row>
    <row r="12" spans="1:25" x14ac:dyDescent="0.25">
      <c r="A12" s="4">
        <v>9</v>
      </c>
      <c r="B12" s="4" t="s">
        <v>26</v>
      </c>
      <c r="C12" s="4" t="s">
        <v>9</v>
      </c>
      <c r="D12" s="4" t="s">
        <v>10</v>
      </c>
      <c r="E12" s="4">
        <v>7</v>
      </c>
      <c r="F12" s="4">
        <v>3</v>
      </c>
      <c r="G12" s="5">
        <v>5.65</v>
      </c>
      <c r="H12" s="13" t="s">
        <v>223</v>
      </c>
      <c r="I12" s="13">
        <v>98.8</v>
      </c>
      <c r="J12">
        <v>2699.03</v>
      </c>
      <c r="K12">
        <v>2700.67</v>
      </c>
      <c r="L12">
        <f t="shared" si="0"/>
        <v>1.6399999999998727</v>
      </c>
      <c r="M12">
        <f t="shared" si="1"/>
        <v>1.6599190283399522E-2</v>
      </c>
      <c r="N12">
        <f t="shared" si="2"/>
        <v>23.711999999999989</v>
      </c>
      <c r="O12" s="9">
        <f t="shared" si="3"/>
        <v>6.9163292847498031E-2</v>
      </c>
      <c r="P12" s="20">
        <f t="shared" si="4"/>
        <v>6.9163292847498035</v>
      </c>
    </row>
    <row r="13" spans="1:25" x14ac:dyDescent="0.25">
      <c r="A13" s="4">
        <v>10</v>
      </c>
      <c r="B13" s="4" t="s">
        <v>28</v>
      </c>
      <c r="C13" s="4" t="s">
        <v>9</v>
      </c>
      <c r="D13" s="4">
        <v>13</v>
      </c>
      <c r="E13" s="4">
        <v>3</v>
      </c>
      <c r="F13" s="4">
        <v>1</v>
      </c>
      <c r="G13" s="5">
        <v>6.4</v>
      </c>
      <c r="H13" s="13" t="s">
        <v>224</v>
      </c>
      <c r="I13" s="13">
        <v>98.7</v>
      </c>
      <c r="J13">
        <v>2797.52</v>
      </c>
      <c r="K13">
        <v>2799.03</v>
      </c>
      <c r="L13">
        <f t="shared" si="0"/>
        <v>1.5100000000002183</v>
      </c>
      <c r="M13">
        <f t="shared" si="1"/>
        <v>1.5298885511653679E-2</v>
      </c>
      <c r="N13">
        <f>I13-(I13*78/100)</f>
        <v>21.713999999999999</v>
      </c>
      <c r="O13" s="9">
        <f t="shared" si="3"/>
        <v>6.9540388689334917E-2</v>
      </c>
      <c r="P13" s="20">
        <f t="shared" si="4"/>
        <v>6.954038868933492</v>
      </c>
    </row>
    <row r="14" spans="1:25" x14ac:dyDescent="0.25">
      <c r="A14" s="4">
        <v>11</v>
      </c>
      <c r="B14" s="4" t="s">
        <v>30</v>
      </c>
      <c r="C14" s="4" t="s">
        <v>9</v>
      </c>
      <c r="D14" s="4">
        <v>13</v>
      </c>
      <c r="E14" s="4">
        <v>3</v>
      </c>
      <c r="F14" s="4">
        <v>2</v>
      </c>
      <c r="G14" s="5">
        <v>5.6</v>
      </c>
      <c r="H14" s="13" t="s">
        <v>225</v>
      </c>
      <c r="I14" s="13">
        <v>104.4</v>
      </c>
      <c r="J14">
        <v>2786.59</v>
      </c>
      <c r="K14">
        <v>2787.96</v>
      </c>
      <c r="L14">
        <f t="shared" si="0"/>
        <v>1.3699999999998909</v>
      </c>
      <c r="M14">
        <f t="shared" si="1"/>
        <v>1.3122605363983629E-2</v>
      </c>
      <c r="N14">
        <f t="shared" ref="N14:N21" si="7">I14-(I14*78/100)</f>
        <v>22.968000000000004</v>
      </c>
      <c r="O14" s="9">
        <f t="shared" si="3"/>
        <v>5.9648206199925578E-2</v>
      </c>
      <c r="P14" s="20">
        <f t="shared" si="4"/>
        <v>5.9648206199925573</v>
      </c>
    </row>
    <row r="15" spans="1:25" x14ac:dyDescent="0.25">
      <c r="A15" s="4">
        <v>12</v>
      </c>
      <c r="B15" s="4" t="s">
        <v>32</v>
      </c>
      <c r="C15" s="4" t="s">
        <v>9</v>
      </c>
      <c r="D15" s="4">
        <v>13</v>
      </c>
      <c r="E15" s="4">
        <v>3</v>
      </c>
      <c r="F15" s="4">
        <v>3</v>
      </c>
      <c r="G15" s="5">
        <v>5.4</v>
      </c>
      <c r="H15" s="13" t="s">
        <v>226</v>
      </c>
      <c r="I15" s="13">
        <v>99.2</v>
      </c>
      <c r="J15">
        <v>2810.75</v>
      </c>
      <c r="K15">
        <v>2812.15</v>
      </c>
      <c r="L15">
        <f t="shared" si="0"/>
        <v>1.4000000000000909</v>
      </c>
      <c r="M15">
        <f t="shared" si="1"/>
        <v>1.4112903225807369E-2</v>
      </c>
      <c r="N15">
        <f t="shared" si="7"/>
        <v>21.823999999999998</v>
      </c>
      <c r="O15" s="9">
        <f t="shared" si="3"/>
        <v>6.4149560117306229E-2</v>
      </c>
      <c r="P15" s="20">
        <f t="shared" si="4"/>
        <v>6.4149560117306228</v>
      </c>
    </row>
    <row r="16" spans="1:25" x14ac:dyDescent="0.25">
      <c r="A16" s="4">
        <v>13</v>
      </c>
      <c r="B16" s="4" t="s">
        <v>34</v>
      </c>
      <c r="C16" s="4" t="s">
        <v>9</v>
      </c>
      <c r="D16" s="4">
        <v>13</v>
      </c>
      <c r="E16" s="4">
        <v>5</v>
      </c>
      <c r="F16" s="4">
        <v>1</v>
      </c>
      <c r="G16" s="5">
        <v>7.75</v>
      </c>
      <c r="H16" s="13" t="s">
        <v>227</v>
      </c>
      <c r="I16" s="13">
        <v>115.1</v>
      </c>
      <c r="J16">
        <v>2803.39</v>
      </c>
      <c r="K16">
        <v>2805.07</v>
      </c>
      <c r="L16">
        <f t="shared" si="0"/>
        <v>1.680000000000291</v>
      </c>
      <c r="M16">
        <f t="shared" si="1"/>
        <v>1.4596003475241452E-2</v>
      </c>
      <c r="N16">
        <f t="shared" si="7"/>
        <v>25.322000000000003</v>
      </c>
      <c r="O16" s="9">
        <f t="shared" si="3"/>
        <v>6.6345470342006593E-2</v>
      </c>
      <c r="P16" s="20">
        <f t="shared" si="4"/>
        <v>6.6345470342006587</v>
      </c>
    </row>
    <row r="17" spans="1:16" x14ac:dyDescent="0.25">
      <c r="A17" s="4">
        <v>14</v>
      </c>
      <c r="B17" s="4" t="s">
        <v>36</v>
      </c>
      <c r="C17" s="4" t="s">
        <v>9</v>
      </c>
      <c r="D17" s="4">
        <v>13</v>
      </c>
      <c r="E17" s="4">
        <v>5</v>
      </c>
      <c r="F17" s="4">
        <v>2</v>
      </c>
      <c r="G17" s="5">
        <v>5.35</v>
      </c>
      <c r="H17" s="13" t="s">
        <v>228</v>
      </c>
      <c r="I17" s="13">
        <v>101.6</v>
      </c>
      <c r="J17">
        <v>2781.53</v>
      </c>
      <c r="K17">
        <v>2783.18</v>
      </c>
      <c r="L17">
        <f t="shared" si="0"/>
        <v>1.6499999999996362</v>
      </c>
      <c r="M17">
        <f t="shared" si="1"/>
        <v>1.6240157480311383E-2</v>
      </c>
      <c r="N17">
        <f t="shared" si="7"/>
        <v>22.352000000000004</v>
      </c>
      <c r="O17" s="9">
        <f t="shared" si="3"/>
        <v>7.3818897637778991E-2</v>
      </c>
      <c r="P17" s="20">
        <f t="shared" si="4"/>
        <v>7.3818897637778988</v>
      </c>
    </row>
    <row r="18" spans="1:16" x14ac:dyDescent="0.25">
      <c r="A18" s="4">
        <v>15</v>
      </c>
      <c r="B18" s="4" t="s">
        <v>38</v>
      </c>
      <c r="C18" s="4" t="s">
        <v>9</v>
      </c>
      <c r="D18" s="4">
        <v>13</v>
      </c>
      <c r="E18" s="4">
        <v>5</v>
      </c>
      <c r="F18" s="4">
        <v>3</v>
      </c>
      <c r="G18" s="5">
        <v>5.2</v>
      </c>
      <c r="H18" s="13" t="s">
        <v>229</v>
      </c>
      <c r="I18" s="13">
        <v>104.2</v>
      </c>
      <c r="J18">
        <v>2684.06</v>
      </c>
      <c r="K18">
        <v>2685.39</v>
      </c>
      <c r="L18">
        <f t="shared" si="0"/>
        <v>1.3299999999999272</v>
      </c>
      <c r="M18">
        <f t="shared" si="1"/>
        <v>1.2763915547024253E-2</v>
      </c>
      <c r="N18">
        <f t="shared" si="7"/>
        <v>22.923999999999992</v>
      </c>
      <c r="O18" s="9">
        <f t="shared" si="3"/>
        <v>5.8017797941019356E-2</v>
      </c>
      <c r="P18" s="20">
        <f t="shared" si="4"/>
        <v>5.8017797941019351</v>
      </c>
    </row>
    <row r="19" spans="1:16" x14ac:dyDescent="0.25">
      <c r="A19" s="4">
        <v>16</v>
      </c>
      <c r="B19" s="4" t="s">
        <v>40</v>
      </c>
      <c r="C19" s="4" t="s">
        <v>9</v>
      </c>
      <c r="D19" s="4">
        <v>13</v>
      </c>
      <c r="E19" s="4">
        <v>2</v>
      </c>
      <c r="F19" s="4">
        <v>1</v>
      </c>
      <c r="G19" s="5">
        <v>6.5</v>
      </c>
      <c r="H19" s="13" t="s">
        <v>230</v>
      </c>
      <c r="I19" s="13">
        <v>111.6</v>
      </c>
      <c r="J19">
        <v>2772.83</v>
      </c>
      <c r="K19">
        <v>2774.35</v>
      </c>
      <c r="L19">
        <f t="shared" si="0"/>
        <v>1.5199999999999818</v>
      </c>
      <c r="M19">
        <f t="shared" si="1"/>
        <v>1.3620071684587651E-2</v>
      </c>
      <c r="N19">
        <f t="shared" si="7"/>
        <v>24.552000000000007</v>
      </c>
      <c r="O19" s="9">
        <f t="shared" si="3"/>
        <v>6.1909416748125667E-2</v>
      </c>
      <c r="P19" s="20">
        <f t="shared" si="4"/>
        <v>6.1909416748125672</v>
      </c>
    </row>
    <row r="20" spans="1:16" x14ac:dyDescent="0.25">
      <c r="A20" s="4">
        <v>17</v>
      </c>
      <c r="B20" s="4" t="s">
        <v>42</v>
      </c>
      <c r="C20" s="4" t="s">
        <v>9</v>
      </c>
      <c r="D20" s="4">
        <v>13</v>
      </c>
      <c r="E20" s="4">
        <v>2</v>
      </c>
      <c r="F20" s="4">
        <v>2</v>
      </c>
      <c r="G20" s="5">
        <v>6.35</v>
      </c>
      <c r="H20" s="13" t="s">
        <v>231</v>
      </c>
      <c r="I20" s="13">
        <v>124</v>
      </c>
      <c r="J20">
        <v>2802.18</v>
      </c>
      <c r="K20">
        <v>2804.05</v>
      </c>
      <c r="L20">
        <f t="shared" si="0"/>
        <v>1.8700000000003456</v>
      </c>
      <c r="M20">
        <f t="shared" si="1"/>
        <v>1.5080645161293109E-2</v>
      </c>
      <c r="N20">
        <f t="shared" si="7"/>
        <v>27.28</v>
      </c>
      <c r="O20" s="9">
        <f t="shared" si="3"/>
        <v>6.8548387096786859E-2</v>
      </c>
      <c r="P20" s="20">
        <f t="shared" si="4"/>
        <v>6.8548387096786856</v>
      </c>
    </row>
    <row r="21" spans="1:16" x14ac:dyDescent="0.25">
      <c r="A21" s="4">
        <v>18</v>
      </c>
      <c r="B21" s="4" t="s">
        <v>44</v>
      </c>
      <c r="C21" s="4" t="s">
        <v>9</v>
      </c>
      <c r="D21" s="4">
        <v>13</v>
      </c>
      <c r="E21" s="4">
        <v>2</v>
      </c>
      <c r="F21" s="4">
        <v>3</v>
      </c>
      <c r="G21" s="5">
        <v>4.05</v>
      </c>
      <c r="H21" s="13" t="s">
        <v>232</v>
      </c>
      <c r="I21" s="13">
        <v>106</v>
      </c>
      <c r="J21">
        <v>2801.66</v>
      </c>
      <c r="K21">
        <v>2802.98</v>
      </c>
      <c r="L21">
        <f t="shared" si="0"/>
        <v>1.3200000000001637</v>
      </c>
      <c r="M21">
        <f t="shared" si="1"/>
        <v>1.245283018868079E-2</v>
      </c>
      <c r="N21">
        <f t="shared" si="7"/>
        <v>23.319999999999993</v>
      </c>
      <c r="O21" s="9">
        <f t="shared" si="3"/>
        <v>5.6603773584912698E-2</v>
      </c>
      <c r="P21" s="20">
        <f t="shared" si="4"/>
        <v>5.66037735849127</v>
      </c>
    </row>
    <row r="22" spans="1:16" x14ac:dyDescent="0.25">
      <c r="A22" s="4">
        <v>19</v>
      </c>
      <c r="B22" s="4" t="s">
        <v>46</v>
      </c>
      <c r="C22" s="4" t="s">
        <v>9</v>
      </c>
      <c r="D22" s="4">
        <v>54</v>
      </c>
      <c r="E22" s="4">
        <v>9</v>
      </c>
      <c r="F22" s="4">
        <v>1</v>
      </c>
      <c r="G22" s="5">
        <v>5.65</v>
      </c>
      <c r="H22" s="13" t="s">
        <v>233</v>
      </c>
      <c r="I22" s="13">
        <v>100.2</v>
      </c>
      <c r="J22">
        <v>2806.1</v>
      </c>
      <c r="K22">
        <v>2807.86</v>
      </c>
      <c r="L22">
        <f t="shared" si="0"/>
        <v>1.7600000000002183</v>
      </c>
      <c r="M22">
        <f t="shared" si="1"/>
        <v>1.7564870259483216E-2</v>
      </c>
      <c r="N22">
        <f t="shared" si="2"/>
        <v>24.048000000000002</v>
      </c>
      <c r="O22" s="9">
        <f t="shared" si="3"/>
        <v>7.3186959414513392E-2</v>
      </c>
      <c r="P22" s="20">
        <f t="shared" si="4"/>
        <v>7.3186959414513399</v>
      </c>
    </row>
    <row r="23" spans="1:16" x14ac:dyDescent="0.25">
      <c r="A23" s="4">
        <v>20</v>
      </c>
      <c r="B23" s="4" t="s">
        <v>48</v>
      </c>
      <c r="C23" s="4" t="s">
        <v>9</v>
      </c>
      <c r="D23" s="4">
        <v>54</v>
      </c>
      <c r="E23" s="4">
        <v>9</v>
      </c>
      <c r="F23" s="4">
        <v>2</v>
      </c>
      <c r="G23" s="5">
        <v>4.5</v>
      </c>
      <c r="H23" s="13" t="s">
        <v>234</v>
      </c>
      <c r="I23" s="13">
        <v>95.8</v>
      </c>
      <c r="J23">
        <v>2775.24</v>
      </c>
      <c r="K23">
        <v>2776.76</v>
      </c>
      <c r="L23">
        <f t="shared" si="0"/>
        <v>1.5200000000004366</v>
      </c>
      <c r="M23">
        <f t="shared" si="1"/>
        <v>1.5866388308981592E-2</v>
      </c>
      <c r="N23">
        <f t="shared" si="2"/>
        <v>22.99199999999999</v>
      </c>
      <c r="O23" s="9">
        <f t="shared" si="3"/>
        <v>6.6109951287423335E-2</v>
      </c>
      <c r="P23" s="20">
        <f t="shared" si="4"/>
        <v>6.6109951287423332</v>
      </c>
    </row>
    <row r="24" spans="1:16" x14ac:dyDescent="0.25">
      <c r="A24" s="4">
        <v>21</v>
      </c>
      <c r="B24" s="4" t="s">
        <v>50</v>
      </c>
      <c r="C24" s="4" t="s">
        <v>9</v>
      </c>
      <c r="D24" s="4">
        <v>54</v>
      </c>
      <c r="E24" s="4">
        <v>9</v>
      </c>
      <c r="F24" s="4">
        <v>3</v>
      </c>
      <c r="G24" s="5">
        <v>6</v>
      </c>
      <c r="H24" s="13" t="s">
        <v>235</v>
      </c>
      <c r="I24" s="13">
        <v>102.5</v>
      </c>
      <c r="J24">
        <v>2775.18</v>
      </c>
      <c r="K24">
        <v>2776.93</v>
      </c>
      <c r="L24">
        <f t="shared" si="0"/>
        <v>1.75</v>
      </c>
      <c r="M24">
        <f t="shared" si="1"/>
        <v>1.7073170731707318E-2</v>
      </c>
      <c r="N24">
        <f t="shared" si="2"/>
        <v>24.599999999999994</v>
      </c>
      <c r="O24" s="9">
        <f t="shared" si="3"/>
        <v>7.1138211382113833E-2</v>
      </c>
      <c r="P24" s="20">
        <f t="shared" si="4"/>
        <v>7.1138211382113834</v>
      </c>
    </row>
    <row r="25" spans="1:16" x14ac:dyDescent="0.25">
      <c r="A25" s="4">
        <v>22</v>
      </c>
      <c r="B25" s="4" t="s">
        <v>52</v>
      </c>
      <c r="C25" s="4" t="s">
        <v>9</v>
      </c>
      <c r="D25" s="4">
        <v>54</v>
      </c>
      <c r="E25" s="4">
        <v>6</v>
      </c>
      <c r="F25" s="4">
        <v>1</v>
      </c>
      <c r="G25" s="5">
        <v>6.65</v>
      </c>
      <c r="H25" s="13" t="s">
        <v>236</v>
      </c>
      <c r="I25" s="13">
        <v>101.5</v>
      </c>
      <c r="J25">
        <v>2783.47</v>
      </c>
      <c r="K25">
        <v>2784.76</v>
      </c>
      <c r="L25">
        <f t="shared" si="0"/>
        <v>1.2900000000004184</v>
      </c>
      <c r="M25">
        <f t="shared" si="1"/>
        <v>1.2709359605915451E-2</v>
      </c>
      <c r="N25">
        <f t="shared" si="2"/>
        <v>24.36</v>
      </c>
      <c r="O25" s="9">
        <f t="shared" si="3"/>
        <v>5.295566502464772E-2</v>
      </c>
      <c r="P25" s="20">
        <f t="shared" si="4"/>
        <v>5.295566502464772</v>
      </c>
    </row>
    <row r="26" spans="1:16" x14ac:dyDescent="0.25">
      <c r="A26" s="4">
        <v>23</v>
      </c>
      <c r="B26" s="4" t="s">
        <v>54</v>
      </c>
      <c r="C26" s="4" t="s">
        <v>9</v>
      </c>
      <c r="D26" s="4">
        <v>54</v>
      </c>
      <c r="E26" s="4">
        <v>6</v>
      </c>
      <c r="F26" s="4">
        <v>2</v>
      </c>
      <c r="G26" s="5">
        <v>5.55</v>
      </c>
      <c r="H26" s="13" t="s">
        <v>237</v>
      </c>
      <c r="I26" s="13">
        <v>110.5</v>
      </c>
      <c r="J26">
        <v>2665.65</v>
      </c>
      <c r="K26">
        <v>2666.91</v>
      </c>
      <c r="L26">
        <f t="shared" si="0"/>
        <v>1.2599999999997635</v>
      </c>
      <c r="M26">
        <f t="shared" si="1"/>
        <v>1.1402714932124558E-2</v>
      </c>
      <c r="N26">
        <f t="shared" si="2"/>
        <v>26.519999999999996</v>
      </c>
      <c r="O26" s="9">
        <f t="shared" si="3"/>
        <v>4.7511312217185658E-2</v>
      </c>
      <c r="P26" s="20">
        <f t="shared" si="4"/>
        <v>4.7511312217185662</v>
      </c>
    </row>
    <row r="27" spans="1:16" x14ac:dyDescent="0.25">
      <c r="A27" s="4">
        <v>24</v>
      </c>
      <c r="B27" s="4" t="s">
        <v>56</v>
      </c>
      <c r="C27" s="4" t="s">
        <v>9</v>
      </c>
      <c r="D27" s="4">
        <v>54</v>
      </c>
      <c r="E27" s="4">
        <v>6</v>
      </c>
      <c r="F27" s="4">
        <v>3</v>
      </c>
      <c r="G27" s="5">
        <v>5.4</v>
      </c>
      <c r="H27" s="13" t="s">
        <v>238</v>
      </c>
      <c r="I27" s="13">
        <v>101.7</v>
      </c>
      <c r="J27">
        <v>2766.93</v>
      </c>
      <c r="K27">
        <v>2768.63</v>
      </c>
      <c r="L27">
        <f t="shared" si="0"/>
        <v>1.7000000000002728</v>
      </c>
      <c r="M27">
        <f t="shared" si="1"/>
        <v>1.6715830875125594E-2</v>
      </c>
      <c r="N27">
        <f t="shared" si="2"/>
        <v>24.408000000000001</v>
      </c>
      <c r="O27" s="9">
        <f t="shared" si="3"/>
        <v>6.9649295313023302E-2</v>
      </c>
      <c r="P27" s="20">
        <f t="shared" si="4"/>
        <v>6.9649295313023298</v>
      </c>
    </row>
    <row r="28" spans="1:16" x14ac:dyDescent="0.25">
      <c r="A28" s="4">
        <v>25</v>
      </c>
      <c r="B28" s="4" t="s">
        <v>58</v>
      </c>
      <c r="C28" s="4" t="s">
        <v>9</v>
      </c>
      <c r="D28" s="4">
        <v>54</v>
      </c>
      <c r="E28" s="4">
        <v>8</v>
      </c>
      <c r="F28" s="4">
        <v>1</v>
      </c>
      <c r="G28" s="5">
        <v>5.85</v>
      </c>
      <c r="H28" s="13" t="s">
        <v>239</v>
      </c>
      <c r="I28" s="13">
        <v>115.3</v>
      </c>
      <c r="J28">
        <v>2682.04</v>
      </c>
      <c r="K28">
        <v>2683.34</v>
      </c>
      <c r="L28">
        <f t="shared" si="0"/>
        <v>1.3000000000001819</v>
      </c>
      <c r="M28">
        <f t="shared" si="1"/>
        <v>1.127493495229993E-2</v>
      </c>
      <c r="N28">
        <f t="shared" si="2"/>
        <v>27.672000000000011</v>
      </c>
      <c r="O28" s="9">
        <f t="shared" si="3"/>
        <v>4.6978895634583025E-2</v>
      </c>
      <c r="P28" s="20">
        <f t="shared" si="4"/>
        <v>4.6978895634583022</v>
      </c>
    </row>
    <row r="29" spans="1:16" x14ac:dyDescent="0.25">
      <c r="A29" s="4">
        <v>26</v>
      </c>
      <c r="B29" s="4" t="s">
        <v>60</v>
      </c>
      <c r="C29" s="4" t="s">
        <v>9</v>
      </c>
      <c r="D29" s="4">
        <v>54</v>
      </c>
      <c r="E29" s="4">
        <v>8</v>
      </c>
      <c r="F29" s="4">
        <v>2</v>
      </c>
      <c r="G29" s="5">
        <v>5.45</v>
      </c>
      <c r="H29" s="13" t="s">
        <v>240</v>
      </c>
      <c r="I29" s="13">
        <v>108.6</v>
      </c>
      <c r="J29">
        <v>2761.12</v>
      </c>
      <c r="K29">
        <v>2763.51</v>
      </c>
      <c r="L29">
        <f t="shared" si="0"/>
        <v>2.3900000000003274</v>
      </c>
      <c r="M29">
        <f t="shared" si="1"/>
        <v>2.2007366482507621E-2</v>
      </c>
      <c r="N29">
        <f t="shared" si="2"/>
        <v>26.063999999999993</v>
      </c>
      <c r="O29" s="9">
        <f t="shared" si="3"/>
        <v>9.1697360343781772E-2</v>
      </c>
      <c r="P29" s="20">
        <f t="shared" si="4"/>
        <v>9.1697360343781771</v>
      </c>
    </row>
    <row r="30" spans="1:16" x14ac:dyDescent="0.25">
      <c r="A30" s="4">
        <v>27</v>
      </c>
      <c r="B30" s="4" t="s">
        <v>62</v>
      </c>
      <c r="C30" s="4" t="s">
        <v>9</v>
      </c>
      <c r="D30" s="4">
        <v>54</v>
      </c>
      <c r="E30" s="4">
        <v>8</v>
      </c>
      <c r="F30" s="4">
        <v>3</v>
      </c>
      <c r="G30" s="5">
        <v>5.45</v>
      </c>
      <c r="H30" s="13" t="s">
        <v>241</v>
      </c>
      <c r="I30" s="13">
        <v>113</v>
      </c>
      <c r="J30">
        <v>2794.44</v>
      </c>
      <c r="K30">
        <v>2796.39</v>
      </c>
      <c r="L30">
        <f t="shared" si="0"/>
        <v>1.9499999999998181</v>
      </c>
      <c r="M30">
        <f t="shared" si="1"/>
        <v>1.7256637168139983E-2</v>
      </c>
      <c r="N30">
        <f t="shared" si="2"/>
        <v>27.120000000000005</v>
      </c>
      <c r="O30" s="9">
        <f t="shared" si="3"/>
        <v>7.1902654867249921E-2</v>
      </c>
      <c r="P30" s="20">
        <f t="shared" si="4"/>
        <v>7.190265486724992</v>
      </c>
    </row>
    <row r="31" spans="1:16" x14ac:dyDescent="0.25">
      <c r="A31" s="4">
        <v>28</v>
      </c>
      <c r="B31" s="4" t="s">
        <v>64</v>
      </c>
      <c r="C31" s="4" t="s">
        <v>65</v>
      </c>
      <c r="D31" s="4" t="s">
        <v>10</v>
      </c>
      <c r="E31" s="4">
        <v>1</v>
      </c>
      <c r="F31" s="4">
        <v>1</v>
      </c>
      <c r="G31" s="5">
        <v>5.45</v>
      </c>
      <c r="H31" s="13" t="s">
        <v>242</v>
      </c>
      <c r="I31" s="13">
        <v>97</v>
      </c>
      <c r="J31">
        <v>2788.12</v>
      </c>
      <c r="K31">
        <v>2789.51</v>
      </c>
      <c r="L31">
        <f t="shared" si="0"/>
        <v>1.3900000000003274</v>
      </c>
      <c r="M31">
        <f t="shared" si="1"/>
        <v>1.432989690721987E-2</v>
      </c>
      <c r="N31">
        <f>I31-(I31*80/100)</f>
        <v>19.400000000000006</v>
      </c>
      <c r="O31" s="9">
        <f t="shared" si="3"/>
        <v>7.1649484536099331E-2</v>
      </c>
      <c r="P31" s="20">
        <f t="shared" si="4"/>
        <v>7.1649484536099335</v>
      </c>
    </row>
    <row r="32" spans="1:16" x14ac:dyDescent="0.25">
      <c r="A32" s="4">
        <v>29</v>
      </c>
      <c r="B32" s="4" t="s">
        <v>67</v>
      </c>
      <c r="C32" s="4" t="s">
        <v>65</v>
      </c>
      <c r="D32" s="4" t="s">
        <v>10</v>
      </c>
      <c r="E32" s="4">
        <v>1</v>
      </c>
      <c r="F32" s="4">
        <v>2</v>
      </c>
      <c r="G32" s="5">
        <v>5.5</v>
      </c>
      <c r="H32" s="13" t="s">
        <v>243</v>
      </c>
      <c r="I32" s="13">
        <v>111.7</v>
      </c>
      <c r="J32">
        <v>2722.27</v>
      </c>
      <c r="K32">
        <v>2723.52</v>
      </c>
      <c r="L32">
        <f t="shared" si="0"/>
        <v>1.25</v>
      </c>
      <c r="M32">
        <f t="shared" si="1"/>
        <v>1.1190689346463742E-2</v>
      </c>
      <c r="N32">
        <f t="shared" ref="N32:N51" si="8">I32-(I32*80/100)</f>
        <v>22.340000000000003</v>
      </c>
      <c r="O32" s="9">
        <f t="shared" si="3"/>
        <v>5.5953446732318703E-2</v>
      </c>
      <c r="P32" s="20">
        <f t="shared" si="4"/>
        <v>5.5953446732318701</v>
      </c>
    </row>
    <row r="33" spans="1:16" x14ac:dyDescent="0.25">
      <c r="A33" s="4">
        <v>30</v>
      </c>
      <c r="B33" s="4" t="s">
        <v>69</v>
      </c>
      <c r="C33" s="4" t="s">
        <v>65</v>
      </c>
      <c r="D33" s="4" t="s">
        <v>10</v>
      </c>
      <c r="E33" s="4">
        <v>1</v>
      </c>
      <c r="F33" s="4">
        <v>3</v>
      </c>
      <c r="G33" s="5">
        <v>5</v>
      </c>
      <c r="H33" s="13" t="s">
        <v>244</v>
      </c>
      <c r="I33" s="13">
        <v>131</v>
      </c>
      <c r="J33">
        <v>2709.71</v>
      </c>
      <c r="K33">
        <v>2710.92</v>
      </c>
      <c r="L33">
        <f t="shared" si="0"/>
        <v>1.2100000000000364</v>
      </c>
      <c r="M33">
        <f t="shared" si="1"/>
        <v>9.2366412213743237E-3</v>
      </c>
      <c r="N33">
        <f t="shared" si="8"/>
        <v>26.200000000000003</v>
      </c>
      <c r="O33" s="9">
        <f t="shared" si="3"/>
        <v>4.6183206106871613E-2</v>
      </c>
      <c r="P33" s="20">
        <f t="shared" si="4"/>
        <v>4.618320610687161</v>
      </c>
    </row>
    <row r="34" spans="1:16" x14ac:dyDescent="0.25">
      <c r="A34" s="4">
        <v>31</v>
      </c>
      <c r="B34" s="4" t="s">
        <v>71</v>
      </c>
      <c r="C34" s="4" t="s">
        <v>65</v>
      </c>
      <c r="D34" s="4" t="s">
        <v>10</v>
      </c>
      <c r="E34" s="4">
        <v>1</v>
      </c>
      <c r="F34" s="4">
        <v>4</v>
      </c>
      <c r="G34" s="5">
        <v>8.75</v>
      </c>
      <c r="H34" s="13" t="s">
        <v>245</v>
      </c>
      <c r="I34" s="13">
        <v>123.5</v>
      </c>
      <c r="J34">
        <v>2738.03</v>
      </c>
      <c r="K34">
        <v>2739.46</v>
      </c>
      <c r="L34">
        <f t="shared" si="0"/>
        <v>1.4299999999998363</v>
      </c>
      <c r="M34">
        <f t="shared" si="1"/>
        <v>1.1578947368419728E-2</v>
      </c>
      <c r="N34">
        <f t="shared" si="8"/>
        <v>24.700000000000003</v>
      </c>
      <c r="O34" s="9">
        <f t="shared" si="3"/>
        <v>5.7894736842098629E-2</v>
      </c>
      <c r="P34" s="20">
        <f t="shared" si="4"/>
        <v>5.7894736842098631</v>
      </c>
    </row>
    <row r="35" spans="1:16" x14ac:dyDescent="0.25">
      <c r="A35" s="4">
        <v>32</v>
      </c>
      <c r="B35" s="4" t="s">
        <v>73</v>
      </c>
      <c r="C35" s="4" t="s">
        <v>65</v>
      </c>
      <c r="D35" s="4" t="s">
        <v>10</v>
      </c>
      <c r="E35" s="4">
        <v>1</v>
      </c>
      <c r="F35" s="4">
        <v>5</v>
      </c>
      <c r="G35" s="5">
        <v>5.15</v>
      </c>
      <c r="H35" s="13" t="s">
        <v>246</v>
      </c>
      <c r="I35" s="13">
        <v>97</v>
      </c>
      <c r="J35">
        <v>2761.72</v>
      </c>
      <c r="K35">
        <v>2759.18</v>
      </c>
      <c r="L35" t="s">
        <v>316</v>
      </c>
      <c r="O35" s="9" t="e">
        <f t="shared" si="3"/>
        <v>#VALUE!</v>
      </c>
      <c r="P35" s="20" t="e">
        <f t="shared" si="4"/>
        <v>#VALUE!</v>
      </c>
    </row>
    <row r="36" spans="1:16" x14ac:dyDescent="0.25">
      <c r="A36" s="4">
        <v>33</v>
      </c>
      <c r="B36" s="7" t="s">
        <v>75</v>
      </c>
      <c r="C36" s="7" t="s">
        <v>65</v>
      </c>
      <c r="D36" s="7" t="s">
        <v>10</v>
      </c>
      <c r="E36" s="7">
        <v>1</v>
      </c>
      <c r="F36" s="7">
        <v>6</v>
      </c>
      <c r="G36" s="8">
        <v>6</v>
      </c>
      <c r="H36" s="13" t="s">
        <v>247</v>
      </c>
      <c r="I36" s="13">
        <v>110.1</v>
      </c>
      <c r="O36" s="9" t="e">
        <f t="shared" si="3"/>
        <v>#DIV/0!</v>
      </c>
      <c r="P36" s="20" t="e">
        <f t="shared" si="4"/>
        <v>#DIV/0!</v>
      </c>
    </row>
    <row r="37" spans="1:16" x14ac:dyDescent="0.25">
      <c r="A37" s="4">
        <v>34</v>
      </c>
      <c r="B37" s="7" t="s">
        <v>77</v>
      </c>
      <c r="C37" s="7" t="s">
        <v>65</v>
      </c>
      <c r="D37" s="7" t="s">
        <v>10</v>
      </c>
      <c r="E37" s="7">
        <v>1</v>
      </c>
      <c r="F37" s="7">
        <v>7</v>
      </c>
      <c r="G37" s="8">
        <v>8.25</v>
      </c>
      <c r="H37" s="13" t="s">
        <v>248</v>
      </c>
      <c r="I37" s="13">
        <v>99.8</v>
      </c>
      <c r="O37" s="9" t="e">
        <f t="shared" si="3"/>
        <v>#DIV/0!</v>
      </c>
      <c r="P37" s="20" t="e">
        <f t="shared" si="4"/>
        <v>#DIV/0!</v>
      </c>
    </row>
    <row r="38" spans="1:16" x14ac:dyDescent="0.25">
      <c r="A38" s="4">
        <v>35</v>
      </c>
      <c r="B38" s="7" t="s">
        <v>79</v>
      </c>
      <c r="C38" s="7" t="s">
        <v>65</v>
      </c>
      <c r="D38" s="7" t="s">
        <v>10</v>
      </c>
      <c r="E38" s="7">
        <v>1</v>
      </c>
      <c r="F38" s="7">
        <v>8</v>
      </c>
      <c r="G38" s="8">
        <v>7.55</v>
      </c>
      <c r="H38" s="13" t="s">
        <v>249</v>
      </c>
      <c r="I38" s="13">
        <v>106.1</v>
      </c>
      <c r="O38" s="9" t="e">
        <f t="shared" si="3"/>
        <v>#DIV/0!</v>
      </c>
      <c r="P38" s="20" t="e">
        <f t="shared" si="4"/>
        <v>#DIV/0!</v>
      </c>
    </row>
    <row r="39" spans="1:16" x14ac:dyDescent="0.25">
      <c r="A39" s="4">
        <v>36</v>
      </c>
      <c r="B39" s="4" t="s">
        <v>81</v>
      </c>
      <c r="C39" s="4" t="s">
        <v>65</v>
      </c>
      <c r="D39" s="4" t="s">
        <v>10</v>
      </c>
      <c r="E39" s="4">
        <v>4</v>
      </c>
      <c r="F39" s="4">
        <v>1</v>
      </c>
      <c r="G39" s="5">
        <v>7.3</v>
      </c>
      <c r="H39" s="13" t="s">
        <v>250</v>
      </c>
      <c r="I39" s="13">
        <v>104.6</v>
      </c>
      <c r="J39">
        <v>2626.02</v>
      </c>
      <c r="K39">
        <v>2627.32</v>
      </c>
      <c r="L39">
        <f t="shared" si="0"/>
        <v>1.3000000000001819</v>
      </c>
      <c r="M39">
        <f t="shared" si="1"/>
        <v>1.2428298279160439E-2</v>
      </c>
      <c r="N39">
        <f t="shared" si="8"/>
        <v>20.919999999999987</v>
      </c>
      <c r="O39" s="9">
        <f t="shared" si="3"/>
        <v>6.2141491395802231E-2</v>
      </c>
      <c r="P39" s="20">
        <f t="shared" si="4"/>
        <v>6.2141491395802229</v>
      </c>
    </row>
    <row r="40" spans="1:16" x14ac:dyDescent="0.25">
      <c r="A40" s="4">
        <v>37</v>
      </c>
      <c r="B40" s="4" t="s">
        <v>83</v>
      </c>
      <c r="C40" s="4" t="s">
        <v>65</v>
      </c>
      <c r="D40" s="4" t="s">
        <v>10</v>
      </c>
      <c r="E40" s="4">
        <v>4</v>
      </c>
      <c r="F40" s="4">
        <v>2</v>
      </c>
      <c r="G40" s="5">
        <v>8.15</v>
      </c>
      <c r="H40" s="13" t="s">
        <v>251</v>
      </c>
      <c r="I40" s="13">
        <v>124</v>
      </c>
      <c r="J40">
        <v>2747.04</v>
      </c>
      <c r="K40">
        <v>2748.61</v>
      </c>
      <c r="L40">
        <f t="shared" si="0"/>
        <v>1.5700000000001637</v>
      </c>
      <c r="M40">
        <f t="shared" si="1"/>
        <v>1.2661290322581965E-2</v>
      </c>
      <c r="N40">
        <f t="shared" si="8"/>
        <v>24.799999999999997</v>
      </c>
      <c r="O40" s="9">
        <f t="shared" si="3"/>
        <v>6.3306451612909834E-2</v>
      </c>
      <c r="P40" s="20">
        <f t="shared" si="4"/>
        <v>6.3306451612909838</v>
      </c>
    </row>
    <row r="41" spans="1:16" x14ac:dyDescent="0.25">
      <c r="A41" s="4">
        <v>38</v>
      </c>
      <c r="B41" s="4" t="s">
        <v>85</v>
      </c>
      <c r="C41" s="4" t="s">
        <v>65</v>
      </c>
      <c r="D41" s="4" t="s">
        <v>10</v>
      </c>
      <c r="E41" s="4">
        <v>4</v>
      </c>
      <c r="F41" s="4">
        <v>3</v>
      </c>
      <c r="G41" s="5">
        <v>6.95</v>
      </c>
      <c r="H41" s="13" t="s">
        <v>252</v>
      </c>
      <c r="I41" s="13">
        <v>96</v>
      </c>
      <c r="J41">
        <v>2767.17</v>
      </c>
      <c r="K41">
        <v>2768.14</v>
      </c>
      <c r="L41">
        <f t="shared" si="0"/>
        <v>0.96999999999979991</v>
      </c>
      <c r="M41">
        <f t="shared" si="1"/>
        <v>1.0104166666664582E-2</v>
      </c>
      <c r="N41">
        <f t="shared" si="8"/>
        <v>19.200000000000003</v>
      </c>
      <c r="O41" s="9">
        <f t="shared" si="3"/>
        <v>5.0520833333322905E-2</v>
      </c>
      <c r="P41" s="20">
        <f t="shared" si="4"/>
        <v>5.0520833333322903</v>
      </c>
    </row>
    <row r="42" spans="1:16" x14ac:dyDescent="0.25">
      <c r="A42" s="4">
        <v>39</v>
      </c>
      <c r="B42" s="4" t="s">
        <v>87</v>
      </c>
      <c r="C42" s="4" t="s">
        <v>65</v>
      </c>
      <c r="D42" s="4" t="s">
        <v>10</v>
      </c>
      <c r="E42" s="4">
        <v>4</v>
      </c>
      <c r="F42" s="4">
        <v>4</v>
      </c>
      <c r="G42" s="5">
        <v>6.1</v>
      </c>
      <c r="H42" s="13" t="s">
        <v>253</v>
      </c>
      <c r="I42" s="13">
        <v>120.5</v>
      </c>
      <c r="J42">
        <v>2752.01</v>
      </c>
      <c r="K42">
        <v>2753.19</v>
      </c>
      <c r="L42">
        <f t="shared" si="0"/>
        <v>1.1799999999998363</v>
      </c>
      <c r="M42">
        <f t="shared" si="1"/>
        <v>9.7925311203305911E-3</v>
      </c>
      <c r="N42">
        <f t="shared" si="8"/>
        <v>24.099999999999994</v>
      </c>
      <c r="O42" s="9">
        <f t="shared" si="3"/>
        <v>4.8962655601652971E-2</v>
      </c>
      <c r="P42" s="20">
        <f t="shared" si="4"/>
        <v>4.8962655601652969</v>
      </c>
    </row>
    <row r="43" spans="1:16" x14ac:dyDescent="0.25">
      <c r="A43" s="4">
        <v>40</v>
      </c>
      <c r="B43" s="4" t="s">
        <v>89</v>
      </c>
      <c r="C43" s="4" t="s">
        <v>65</v>
      </c>
      <c r="D43" s="4" t="s">
        <v>10</v>
      </c>
      <c r="E43" s="4">
        <v>4</v>
      </c>
      <c r="F43" s="4">
        <v>5</v>
      </c>
      <c r="G43" s="5">
        <v>4.1500000000000004</v>
      </c>
      <c r="H43" s="13" t="s">
        <v>254</v>
      </c>
      <c r="I43" s="13">
        <v>111.4</v>
      </c>
      <c r="J43">
        <v>2768.12</v>
      </c>
      <c r="K43">
        <v>2769.52</v>
      </c>
      <c r="L43">
        <f t="shared" si="0"/>
        <v>1.4000000000000909</v>
      </c>
      <c r="M43">
        <f t="shared" si="1"/>
        <v>1.2567324955117512E-2</v>
      </c>
      <c r="N43">
        <f t="shared" si="8"/>
        <v>22.28</v>
      </c>
      <c r="O43" s="9">
        <f t="shared" si="3"/>
        <v>6.283662477558756E-2</v>
      </c>
      <c r="P43" s="20">
        <f t="shared" si="4"/>
        <v>6.2836624775587566</v>
      </c>
    </row>
    <row r="44" spans="1:16" x14ac:dyDescent="0.25">
      <c r="A44" s="4">
        <v>41</v>
      </c>
      <c r="B44" s="7" t="s">
        <v>91</v>
      </c>
      <c r="C44" s="7" t="s">
        <v>65</v>
      </c>
      <c r="D44" s="7" t="s">
        <v>10</v>
      </c>
      <c r="E44" s="7">
        <v>4</v>
      </c>
      <c r="F44" s="7">
        <v>6</v>
      </c>
      <c r="G44" s="8">
        <v>5.3</v>
      </c>
      <c r="H44" s="13" t="s">
        <v>255</v>
      </c>
      <c r="I44" s="13">
        <v>111.8</v>
      </c>
      <c r="O44" s="9" t="e">
        <f t="shared" si="3"/>
        <v>#DIV/0!</v>
      </c>
      <c r="P44" s="20" t="e">
        <f t="shared" si="4"/>
        <v>#DIV/0!</v>
      </c>
    </row>
    <row r="45" spans="1:16" x14ac:dyDescent="0.25">
      <c r="A45" s="4">
        <v>42</v>
      </c>
      <c r="B45" s="7" t="s">
        <v>93</v>
      </c>
      <c r="C45" s="7" t="s">
        <v>65</v>
      </c>
      <c r="D45" s="7" t="s">
        <v>10</v>
      </c>
      <c r="E45" s="7">
        <v>4</v>
      </c>
      <c r="F45" s="7">
        <v>7</v>
      </c>
      <c r="G45" s="8">
        <v>7.4</v>
      </c>
      <c r="H45" s="13" t="s">
        <v>256</v>
      </c>
      <c r="I45" s="13">
        <v>91</v>
      </c>
      <c r="O45" s="9" t="e">
        <f t="shared" si="3"/>
        <v>#DIV/0!</v>
      </c>
      <c r="P45" s="20" t="e">
        <f t="shared" si="4"/>
        <v>#DIV/0!</v>
      </c>
    </row>
    <row r="46" spans="1:16" x14ac:dyDescent="0.25">
      <c r="A46" s="4">
        <v>43</v>
      </c>
      <c r="B46" s="7" t="s">
        <v>95</v>
      </c>
      <c r="C46" s="7" t="s">
        <v>65</v>
      </c>
      <c r="D46" s="7" t="s">
        <v>10</v>
      </c>
      <c r="E46" s="7">
        <v>4</v>
      </c>
      <c r="F46" s="7">
        <v>8</v>
      </c>
      <c r="G46" s="8">
        <v>7.95</v>
      </c>
      <c r="H46" s="13" t="s">
        <v>257</v>
      </c>
      <c r="I46" s="13">
        <v>102.3</v>
      </c>
      <c r="O46" s="9" t="e">
        <f t="shared" si="3"/>
        <v>#DIV/0!</v>
      </c>
      <c r="P46" s="20" t="e">
        <f t="shared" si="4"/>
        <v>#DIV/0!</v>
      </c>
    </row>
    <row r="47" spans="1:16" x14ac:dyDescent="0.25">
      <c r="A47" s="4">
        <v>44</v>
      </c>
      <c r="B47" s="4" t="s">
        <v>97</v>
      </c>
      <c r="C47" s="4" t="s">
        <v>65</v>
      </c>
      <c r="D47" s="4" t="s">
        <v>10</v>
      </c>
      <c r="E47" s="4">
        <v>7</v>
      </c>
      <c r="F47" s="4">
        <v>1</v>
      </c>
      <c r="G47" s="5">
        <v>5.15</v>
      </c>
      <c r="H47" s="13" t="s">
        <v>258</v>
      </c>
      <c r="I47" s="13">
        <v>98.4</v>
      </c>
      <c r="J47">
        <v>2729.11</v>
      </c>
      <c r="K47">
        <v>2730.29</v>
      </c>
      <c r="L47">
        <f t="shared" si="0"/>
        <v>1.1799999999998363</v>
      </c>
      <c r="M47">
        <f t="shared" si="1"/>
        <v>1.1991869918697523E-2</v>
      </c>
      <c r="N47">
        <f t="shared" si="8"/>
        <v>19.680000000000007</v>
      </c>
      <c r="O47" s="9">
        <f t="shared" si="3"/>
        <v>5.9959349593487594E-2</v>
      </c>
      <c r="P47" s="20">
        <f t="shared" si="4"/>
        <v>5.9959349593487596</v>
      </c>
    </row>
    <row r="48" spans="1:16" x14ac:dyDescent="0.25">
      <c r="A48" s="4">
        <v>45</v>
      </c>
      <c r="B48" s="4" t="s">
        <v>99</v>
      </c>
      <c r="C48" s="4" t="s">
        <v>65</v>
      </c>
      <c r="D48" s="4" t="s">
        <v>10</v>
      </c>
      <c r="E48" s="4">
        <v>7</v>
      </c>
      <c r="F48" s="4">
        <v>2</v>
      </c>
      <c r="G48" s="5">
        <v>4.8</v>
      </c>
      <c r="H48" s="13" t="s">
        <v>259</v>
      </c>
      <c r="I48" s="13">
        <v>105</v>
      </c>
      <c r="J48">
        <v>2730.11</v>
      </c>
      <c r="K48">
        <v>2731.25</v>
      </c>
      <c r="L48">
        <f t="shared" si="0"/>
        <v>1.1399999999998727</v>
      </c>
      <c r="M48">
        <f t="shared" si="1"/>
        <v>1.0857142857141644E-2</v>
      </c>
      <c r="N48">
        <f t="shared" si="8"/>
        <v>21</v>
      </c>
      <c r="O48" s="9">
        <f t="shared" si="3"/>
        <v>5.428571428570822E-2</v>
      </c>
      <c r="P48" s="20">
        <f t="shared" si="4"/>
        <v>5.4285714285708222</v>
      </c>
    </row>
    <row r="49" spans="1:16" x14ac:dyDescent="0.25">
      <c r="A49" s="4">
        <v>46</v>
      </c>
      <c r="B49" s="4" t="s">
        <v>101</v>
      </c>
      <c r="C49" s="4" t="s">
        <v>65</v>
      </c>
      <c r="D49" s="4" t="s">
        <v>10</v>
      </c>
      <c r="E49" s="4">
        <v>7</v>
      </c>
      <c r="F49" s="4">
        <v>3</v>
      </c>
      <c r="G49" s="5">
        <v>7.05</v>
      </c>
      <c r="H49" s="13" t="s">
        <v>260</v>
      </c>
      <c r="I49" s="13">
        <v>117.3</v>
      </c>
      <c r="J49">
        <v>2659.91</v>
      </c>
      <c r="K49">
        <v>2661.11</v>
      </c>
      <c r="L49">
        <f t="shared" si="0"/>
        <v>1.2000000000002728</v>
      </c>
      <c r="M49">
        <f t="shared" si="1"/>
        <v>1.0230179028135319E-2</v>
      </c>
      <c r="N49">
        <f t="shared" si="8"/>
        <v>23.459999999999994</v>
      </c>
      <c r="O49" s="9">
        <f t="shared" si="3"/>
        <v>5.1150895140676604E-2</v>
      </c>
      <c r="P49" s="20">
        <f t="shared" si="4"/>
        <v>5.1150895140676607</v>
      </c>
    </row>
    <row r="50" spans="1:16" x14ac:dyDescent="0.25">
      <c r="A50" s="4">
        <v>47</v>
      </c>
      <c r="B50" s="4" t="s">
        <v>103</v>
      </c>
      <c r="C50" s="4" t="s">
        <v>65</v>
      </c>
      <c r="D50" s="4" t="s">
        <v>10</v>
      </c>
      <c r="E50" s="4">
        <v>7</v>
      </c>
      <c r="F50" s="4">
        <v>4</v>
      </c>
      <c r="G50" s="5">
        <v>6.5</v>
      </c>
      <c r="H50" s="13" t="s">
        <v>261</v>
      </c>
      <c r="I50" s="13">
        <v>109.8</v>
      </c>
      <c r="J50">
        <v>2715.48</v>
      </c>
      <c r="K50">
        <v>2716.71</v>
      </c>
      <c r="L50">
        <f t="shared" si="0"/>
        <v>1.2300000000000182</v>
      </c>
      <c r="M50">
        <f t="shared" si="1"/>
        <v>1.1202185792349892E-2</v>
      </c>
      <c r="N50">
        <f t="shared" si="8"/>
        <v>21.959999999999994</v>
      </c>
      <c r="O50" s="9">
        <f t="shared" si="3"/>
        <v>5.601092896174948E-2</v>
      </c>
      <c r="P50" s="20">
        <f t="shared" si="4"/>
        <v>5.601092896174948</v>
      </c>
    </row>
    <row r="51" spans="1:16" x14ac:dyDescent="0.25">
      <c r="A51" s="4">
        <v>48</v>
      </c>
      <c r="B51" s="4" t="s">
        <v>105</v>
      </c>
      <c r="C51" s="4" t="s">
        <v>65</v>
      </c>
      <c r="D51" s="4" t="s">
        <v>10</v>
      </c>
      <c r="E51" s="4">
        <v>7</v>
      </c>
      <c r="F51" s="4">
        <v>5</v>
      </c>
      <c r="G51" s="5">
        <v>7.3</v>
      </c>
      <c r="H51" s="13" t="s">
        <v>262</v>
      </c>
      <c r="I51" s="13">
        <v>103.8</v>
      </c>
      <c r="J51">
        <v>2711.36</v>
      </c>
      <c r="K51">
        <v>2712.72</v>
      </c>
      <c r="L51">
        <f t="shared" si="0"/>
        <v>1.3599999999996726</v>
      </c>
      <c r="M51">
        <f t="shared" si="1"/>
        <v>1.3102119460497809E-2</v>
      </c>
      <c r="N51">
        <f t="shared" si="8"/>
        <v>20.759999999999991</v>
      </c>
      <c r="O51" s="9">
        <f t="shared" si="3"/>
        <v>6.5510597302489079E-2</v>
      </c>
      <c r="P51" s="20">
        <f t="shared" si="4"/>
        <v>6.5510597302489071</v>
      </c>
    </row>
    <row r="52" spans="1:16" x14ac:dyDescent="0.25">
      <c r="A52" s="4">
        <v>49</v>
      </c>
      <c r="B52" s="7" t="s">
        <v>107</v>
      </c>
      <c r="C52" s="7" t="s">
        <v>65</v>
      </c>
      <c r="D52" s="7" t="s">
        <v>10</v>
      </c>
      <c r="E52" s="7">
        <v>7</v>
      </c>
      <c r="F52" s="7">
        <v>6</v>
      </c>
      <c r="G52" s="8">
        <v>5.5</v>
      </c>
      <c r="H52" s="13" t="s">
        <v>263</v>
      </c>
      <c r="I52" s="13">
        <v>117.4</v>
      </c>
      <c r="O52" s="9" t="e">
        <f t="shared" si="3"/>
        <v>#DIV/0!</v>
      </c>
      <c r="P52" s="20" t="e">
        <f t="shared" si="4"/>
        <v>#DIV/0!</v>
      </c>
    </row>
    <row r="53" spans="1:16" x14ac:dyDescent="0.25">
      <c r="A53" s="4">
        <v>50</v>
      </c>
      <c r="B53" s="7" t="s">
        <v>109</v>
      </c>
      <c r="C53" s="7" t="s">
        <v>65</v>
      </c>
      <c r="D53" s="7" t="s">
        <v>10</v>
      </c>
      <c r="E53" s="7">
        <v>7</v>
      </c>
      <c r="F53" s="7">
        <v>7</v>
      </c>
      <c r="G53" s="8">
        <v>9.9499999999999993</v>
      </c>
      <c r="H53" s="13" t="s">
        <v>264</v>
      </c>
      <c r="I53" s="13">
        <v>106.7</v>
      </c>
      <c r="O53" s="9" t="e">
        <f t="shared" si="3"/>
        <v>#DIV/0!</v>
      </c>
      <c r="P53" s="20" t="e">
        <f t="shared" si="4"/>
        <v>#DIV/0!</v>
      </c>
    </row>
    <row r="54" spans="1:16" x14ac:dyDescent="0.25">
      <c r="A54" s="4">
        <v>51</v>
      </c>
      <c r="B54" s="7" t="s">
        <v>111</v>
      </c>
      <c r="C54" s="7" t="s">
        <v>65</v>
      </c>
      <c r="D54" s="7" t="s">
        <v>10</v>
      </c>
      <c r="E54" s="7">
        <v>7</v>
      </c>
      <c r="F54" s="7">
        <v>8</v>
      </c>
      <c r="G54" s="8">
        <v>5.45</v>
      </c>
      <c r="H54" s="13" t="s">
        <v>265</v>
      </c>
      <c r="I54" s="13">
        <v>98.8</v>
      </c>
      <c r="O54" s="9" t="e">
        <f t="shared" si="3"/>
        <v>#DIV/0!</v>
      </c>
      <c r="P54" s="20" t="e">
        <f t="shared" si="4"/>
        <v>#DIV/0!</v>
      </c>
    </row>
    <row r="55" spans="1:16" x14ac:dyDescent="0.25">
      <c r="A55" s="4">
        <v>52</v>
      </c>
      <c r="B55" s="4" t="s">
        <v>113</v>
      </c>
      <c r="C55" s="4" t="s">
        <v>65</v>
      </c>
      <c r="D55" s="4">
        <v>13</v>
      </c>
      <c r="E55" s="4">
        <v>3</v>
      </c>
      <c r="F55" s="4">
        <v>1</v>
      </c>
      <c r="G55" s="5">
        <v>5.55</v>
      </c>
      <c r="H55" s="13" t="s">
        <v>266</v>
      </c>
      <c r="I55" s="13">
        <v>104.4</v>
      </c>
      <c r="J55">
        <v>2777.97</v>
      </c>
      <c r="K55">
        <v>2779.15</v>
      </c>
      <c r="L55">
        <f t="shared" si="0"/>
        <v>1.180000000000291</v>
      </c>
      <c r="M55">
        <f t="shared" si="1"/>
        <v>1.1302681992339952E-2</v>
      </c>
      <c r="N55">
        <f>I55-(I55*79/100)</f>
        <v>21.924000000000007</v>
      </c>
      <c r="O55" s="9">
        <f t="shared" si="3"/>
        <v>5.3822295201618804E-2</v>
      </c>
      <c r="P55" s="20">
        <f t="shared" si="4"/>
        <v>5.3822295201618804</v>
      </c>
    </row>
    <row r="56" spans="1:16" x14ac:dyDescent="0.25">
      <c r="A56" s="4">
        <v>53</v>
      </c>
      <c r="B56" s="4" t="s">
        <v>115</v>
      </c>
      <c r="C56" s="4" t="s">
        <v>65</v>
      </c>
      <c r="D56" s="4">
        <v>13</v>
      </c>
      <c r="E56" s="4">
        <v>3</v>
      </c>
      <c r="F56" s="4">
        <v>2</v>
      </c>
      <c r="G56" s="5">
        <v>6.15</v>
      </c>
      <c r="H56" s="13" t="s">
        <v>267</v>
      </c>
      <c r="I56" s="13">
        <v>105.4</v>
      </c>
      <c r="J56">
        <v>2882.99</v>
      </c>
      <c r="K56">
        <v>2884.11</v>
      </c>
      <c r="L56">
        <f t="shared" si="0"/>
        <v>1.1200000000003456</v>
      </c>
      <c r="M56">
        <f t="shared" si="1"/>
        <v>1.0626185958257548E-2</v>
      </c>
      <c r="N56">
        <f t="shared" ref="N56:N73" si="9">I56-(I56*79/100)</f>
        <v>22.134</v>
      </c>
      <c r="O56" s="9">
        <f t="shared" si="3"/>
        <v>5.0600885515512138E-2</v>
      </c>
      <c r="P56" s="20">
        <f t="shared" si="4"/>
        <v>5.0600885515512131</v>
      </c>
    </row>
    <row r="57" spans="1:16" x14ac:dyDescent="0.25">
      <c r="A57" s="4">
        <v>54</v>
      </c>
      <c r="B57" s="4" t="s">
        <v>117</v>
      </c>
      <c r="C57" s="4" t="s">
        <v>65</v>
      </c>
      <c r="D57" s="4">
        <v>13</v>
      </c>
      <c r="E57" s="4">
        <v>3</v>
      </c>
      <c r="F57" s="4">
        <v>3</v>
      </c>
      <c r="G57" s="5">
        <v>6.05</v>
      </c>
      <c r="H57" s="13" t="s">
        <v>268</v>
      </c>
      <c r="I57" s="13">
        <v>97</v>
      </c>
      <c r="J57">
        <v>2754.43</v>
      </c>
      <c r="K57">
        <v>2755.52</v>
      </c>
      <c r="L57">
        <f t="shared" si="0"/>
        <v>1.0900000000001455</v>
      </c>
      <c r="M57">
        <f t="shared" si="1"/>
        <v>1.1237113402063357E-2</v>
      </c>
      <c r="N57">
        <f t="shared" si="9"/>
        <v>20.370000000000005</v>
      </c>
      <c r="O57" s="9">
        <f t="shared" si="3"/>
        <v>5.35100638193493E-2</v>
      </c>
      <c r="P57" s="20">
        <f t="shared" si="4"/>
        <v>5.3510063819349298</v>
      </c>
    </row>
    <row r="58" spans="1:16" x14ac:dyDescent="0.25">
      <c r="A58" s="4">
        <v>55</v>
      </c>
      <c r="B58" s="4" t="s">
        <v>119</v>
      </c>
      <c r="C58" s="4" t="s">
        <v>65</v>
      </c>
      <c r="D58" s="4">
        <v>13</v>
      </c>
      <c r="E58" s="4">
        <v>3</v>
      </c>
      <c r="F58" s="4">
        <v>4</v>
      </c>
      <c r="G58" s="5">
        <v>6.8</v>
      </c>
      <c r="H58" s="13" t="s">
        <v>269</v>
      </c>
      <c r="I58" s="13">
        <v>110</v>
      </c>
      <c r="J58">
        <v>2784.07</v>
      </c>
      <c r="K58">
        <v>2785.49</v>
      </c>
      <c r="L58">
        <f t="shared" si="0"/>
        <v>1.419999999999618</v>
      </c>
      <c r="M58">
        <f t="shared" si="1"/>
        <v>1.2909090909087437E-2</v>
      </c>
      <c r="N58">
        <f t="shared" si="9"/>
        <v>23.099999999999994</v>
      </c>
      <c r="O58" s="9">
        <f t="shared" si="3"/>
        <v>6.1471861471844948E-2</v>
      </c>
      <c r="P58" s="20">
        <f t="shared" si="4"/>
        <v>6.1471861471844953</v>
      </c>
    </row>
    <row r="59" spans="1:16" x14ac:dyDescent="0.25">
      <c r="A59" s="4">
        <v>56</v>
      </c>
      <c r="B59" s="4" t="s">
        <v>121</v>
      </c>
      <c r="C59" s="4" t="s">
        <v>65</v>
      </c>
      <c r="D59" s="4">
        <v>13</v>
      </c>
      <c r="E59" s="4">
        <v>3</v>
      </c>
      <c r="F59" s="4">
        <v>5</v>
      </c>
      <c r="G59" s="5">
        <v>5.7</v>
      </c>
      <c r="H59" s="13" t="s">
        <v>270</v>
      </c>
      <c r="I59" s="13">
        <v>112.4</v>
      </c>
      <c r="J59">
        <v>2776.36</v>
      </c>
      <c r="K59">
        <v>2777.59</v>
      </c>
      <c r="L59">
        <f t="shared" si="0"/>
        <v>1.2300000000000182</v>
      </c>
      <c r="M59">
        <f t="shared" si="1"/>
        <v>1.0943060498220802E-2</v>
      </c>
      <c r="N59">
        <f t="shared" si="9"/>
        <v>23.603999999999999</v>
      </c>
      <c r="O59" s="9">
        <f t="shared" si="3"/>
        <v>5.2109811896289535E-2</v>
      </c>
      <c r="P59" s="20">
        <f t="shared" si="4"/>
        <v>5.2109811896289537</v>
      </c>
    </row>
    <row r="60" spans="1:16" x14ac:dyDescent="0.25">
      <c r="A60" s="4">
        <v>57</v>
      </c>
      <c r="B60" s="7" t="s">
        <v>123</v>
      </c>
      <c r="C60" s="7" t="s">
        <v>65</v>
      </c>
      <c r="D60" s="7">
        <v>13</v>
      </c>
      <c r="E60" s="7">
        <v>3</v>
      </c>
      <c r="F60" s="7">
        <v>6</v>
      </c>
      <c r="G60" s="8">
        <v>10.199999999999999</v>
      </c>
      <c r="H60" s="13" t="s">
        <v>271</v>
      </c>
      <c r="I60" s="13">
        <v>112.8</v>
      </c>
      <c r="O60" s="9" t="e">
        <f t="shared" si="3"/>
        <v>#DIV/0!</v>
      </c>
      <c r="P60" s="20" t="e">
        <f t="shared" si="4"/>
        <v>#DIV/0!</v>
      </c>
    </row>
    <row r="61" spans="1:16" x14ac:dyDescent="0.25">
      <c r="A61" s="4">
        <v>58</v>
      </c>
      <c r="B61" s="7" t="s">
        <v>125</v>
      </c>
      <c r="C61" s="7" t="s">
        <v>65</v>
      </c>
      <c r="D61" s="7">
        <v>13</v>
      </c>
      <c r="E61" s="7">
        <v>3</v>
      </c>
      <c r="F61" s="7">
        <v>7</v>
      </c>
      <c r="G61" s="8">
        <v>5.85</v>
      </c>
      <c r="H61" s="13" t="s">
        <v>272</v>
      </c>
      <c r="I61" s="13">
        <v>110.9</v>
      </c>
      <c r="O61" s="9" t="e">
        <f t="shared" si="3"/>
        <v>#DIV/0!</v>
      </c>
      <c r="P61" s="20" t="e">
        <f t="shared" si="4"/>
        <v>#DIV/0!</v>
      </c>
    </row>
    <row r="62" spans="1:16" x14ac:dyDescent="0.25">
      <c r="A62" s="4">
        <v>59</v>
      </c>
      <c r="B62" s="4" t="s">
        <v>127</v>
      </c>
      <c r="C62" s="4" t="s">
        <v>65</v>
      </c>
      <c r="D62" s="4">
        <v>13</v>
      </c>
      <c r="E62" s="4">
        <v>5</v>
      </c>
      <c r="F62" s="4">
        <v>1</v>
      </c>
      <c r="G62" s="5">
        <v>5.2</v>
      </c>
      <c r="H62" s="13" t="s">
        <v>273</v>
      </c>
      <c r="I62" s="13">
        <v>100.7</v>
      </c>
      <c r="J62">
        <v>2716.2</v>
      </c>
      <c r="K62">
        <v>2717.39</v>
      </c>
      <c r="L62">
        <f t="shared" si="0"/>
        <v>1.1900000000000546</v>
      </c>
      <c r="M62">
        <f t="shared" si="1"/>
        <v>1.1817279046673828E-2</v>
      </c>
      <c r="N62">
        <f t="shared" si="9"/>
        <v>21.147000000000006</v>
      </c>
      <c r="O62" s="9">
        <f t="shared" si="3"/>
        <v>5.6272757365113453E-2</v>
      </c>
      <c r="P62" s="20">
        <f t="shared" si="4"/>
        <v>5.6272757365113453</v>
      </c>
    </row>
    <row r="63" spans="1:16" x14ac:dyDescent="0.25">
      <c r="A63" s="4">
        <v>60</v>
      </c>
      <c r="B63" s="4" t="s">
        <v>129</v>
      </c>
      <c r="C63" s="4" t="s">
        <v>65</v>
      </c>
      <c r="D63" s="4">
        <v>13</v>
      </c>
      <c r="E63" s="4">
        <v>5</v>
      </c>
      <c r="F63" s="4">
        <v>2</v>
      </c>
      <c r="G63" s="5">
        <v>6.15</v>
      </c>
      <c r="H63" s="13" t="s">
        <v>274</v>
      </c>
      <c r="I63" s="13">
        <v>106.8</v>
      </c>
      <c r="J63">
        <v>2747.63</v>
      </c>
      <c r="K63">
        <v>2749.47</v>
      </c>
      <c r="L63">
        <f t="shared" si="0"/>
        <v>1.8399999999996908</v>
      </c>
      <c r="M63">
        <f t="shared" si="1"/>
        <v>1.7228464419472761E-2</v>
      </c>
      <c r="N63">
        <f t="shared" si="9"/>
        <v>22.428000000000011</v>
      </c>
      <c r="O63" s="9">
        <f t="shared" si="3"/>
        <v>8.2040306759394055E-2</v>
      </c>
      <c r="P63" s="20">
        <f t="shared" si="4"/>
        <v>8.2040306759394053</v>
      </c>
    </row>
    <row r="64" spans="1:16" x14ac:dyDescent="0.25">
      <c r="A64" s="4">
        <v>61</v>
      </c>
      <c r="B64" s="4" t="s">
        <v>131</v>
      </c>
      <c r="C64" s="4" t="s">
        <v>65</v>
      </c>
      <c r="D64" s="4">
        <v>13</v>
      </c>
      <c r="E64" s="4">
        <v>5</v>
      </c>
      <c r="F64" s="4">
        <v>3</v>
      </c>
      <c r="G64" s="5">
        <v>5.45</v>
      </c>
      <c r="H64" s="13" t="s">
        <v>275</v>
      </c>
      <c r="I64" s="13">
        <v>106.6</v>
      </c>
      <c r="J64">
        <v>2759.46</v>
      </c>
      <c r="K64">
        <v>2760.82</v>
      </c>
      <c r="L64">
        <f t="shared" si="0"/>
        <v>1.3600000000001273</v>
      </c>
      <c r="M64">
        <f t="shared" si="1"/>
        <v>1.2757973733584685E-2</v>
      </c>
      <c r="N64">
        <f t="shared" si="9"/>
        <v>22.385999999999996</v>
      </c>
      <c r="O64" s="9">
        <f t="shared" si="3"/>
        <v>6.075225587421279E-2</v>
      </c>
      <c r="P64" s="20">
        <f t="shared" si="4"/>
        <v>6.0752255874212793</v>
      </c>
    </row>
    <row r="65" spans="1:16" x14ac:dyDescent="0.25">
      <c r="A65" s="4">
        <v>62</v>
      </c>
      <c r="B65" s="4" t="s">
        <v>133</v>
      </c>
      <c r="C65" s="4" t="s">
        <v>65</v>
      </c>
      <c r="D65" s="4">
        <v>13</v>
      </c>
      <c r="E65" s="4">
        <v>5</v>
      </c>
      <c r="F65" s="4">
        <v>4</v>
      </c>
      <c r="G65" s="5">
        <v>7.75</v>
      </c>
      <c r="H65" s="13" t="s">
        <v>276</v>
      </c>
      <c r="I65" s="13">
        <v>111</v>
      </c>
      <c r="J65">
        <v>2752.27</v>
      </c>
      <c r="K65">
        <v>2753.53</v>
      </c>
      <c r="L65">
        <f t="shared" si="0"/>
        <v>1.2600000000002183</v>
      </c>
      <c r="M65">
        <f t="shared" si="1"/>
        <v>1.1351351351353317E-2</v>
      </c>
      <c r="N65">
        <f t="shared" si="9"/>
        <v>23.310000000000002</v>
      </c>
      <c r="O65" s="9">
        <f t="shared" si="3"/>
        <v>5.4054054054063411E-2</v>
      </c>
      <c r="P65" s="20">
        <f t="shared" si="4"/>
        <v>5.4054054054063414</v>
      </c>
    </row>
    <row r="66" spans="1:16" x14ac:dyDescent="0.25">
      <c r="A66" s="4">
        <v>63</v>
      </c>
      <c r="B66" s="4" t="s">
        <v>135</v>
      </c>
      <c r="C66" s="4" t="s">
        <v>65</v>
      </c>
      <c r="D66" s="4">
        <v>13</v>
      </c>
      <c r="E66" s="4">
        <v>5</v>
      </c>
      <c r="F66" s="4">
        <v>5</v>
      </c>
      <c r="G66" s="5">
        <v>6.55</v>
      </c>
      <c r="H66" s="13" t="s">
        <v>277</v>
      </c>
      <c r="I66" s="13">
        <v>100</v>
      </c>
      <c r="J66">
        <v>2637.04</v>
      </c>
      <c r="K66">
        <v>2638.41</v>
      </c>
      <c r="L66">
        <f t="shared" si="0"/>
        <v>1.3699999999998909</v>
      </c>
      <c r="M66">
        <f t="shared" si="1"/>
        <v>1.3699999999998909E-2</v>
      </c>
      <c r="N66">
        <f t="shared" si="9"/>
        <v>21</v>
      </c>
      <c r="O66" s="9">
        <f t="shared" si="3"/>
        <v>6.5238095238090044E-2</v>
      </c>
      <c r="P66" s="20">
        <f t="shared" si="4"/>
        <v>6.5238095238090041</v>
      </c>
    </row>
    <row r="67" spans="1:16" x14ac:dyDescent="0.25">
      <c r="A67" s="4">
        <v>64</v>
      </c>
      <c r="B67" s="7" t="s">
        <v>137</v>
      </c>
      <c r="C67" s="7" t="s">
        <v>65</v>
      </c>
      <c r="D67" s="7">
        <v>13</v>
      </c>
      <c r="E67" s="7">
        <v>5</v>
      </c>
      <c r="F67" s="7">
        <v>6</v>
      </c>
      <c r="G67" s="8">
        <v>5.0999999999999996</v>
      </c>
      <c r="H67" s="13" t="s">
        <v>278</v>
      </c>
      <c r="I67" s="13">
        <v>97</v>
      </c>
      <c r="O67" s="9" t="e">
        <f t="shared" si="3"/>
        <v>#DIV/0!</v>
      </c>
      <c r="P67" s="20" t="e">
        <f t="shared" si="4"/>
        <v>#DIV/0!</v>
      </c>
    </row>
    <row r="68" spans="1:16" x14ac:dyDescent="0.25">
      <c r="A68" s="4">
        <v>65</v>
      </c>
      <c r="B68" s="7" t="s">
        <v>139</v>
      </c>
      <c r="C68" s="7" t="s">
        <v>65</v>
      </c>
      <c r="D68" s="7">
        <v>13</v>
      </c>
      <c r="E68" s="7">
        <v>5</v>
      </c>
      <c r="F68" s="7">
        <v>7</v>
      </c>
      <c r="G68" s="8">
        <v>4.5999999999999996</v>
      </c>
      <c r="H68" s="13" t="s">
        <v>279</v>
      </c>
      <c r="I68" s="13">
        <v>113.9</v>
      </c>
      <c r="O68" s="9" t="e">
        <f t="shared" si="3"/>
        <v>#DIV/0!</v>
      </c>
      <c r="P68" s="20" t="e">
        <f t="shared" si="4"/>
        <v>#DIV/0!</v>
      </c>
    </row>
    <row r="69" spans="1:16" x14ac:dyDescent="0.25">
      <c r="A69" s="4">
        <v>66</v>
      </c>
      <c r="B69" s="4" t="s">
        <v>141</v>
      </c>
      <c r="C69" s="4" t="s">
        <v>65</v>
      </c>
      <c r="D69" s="4">
        <v>13</v>
      </c>
      <c r="E69" s="4">
        <v>2</v>
      </c>
      <c r="F69" s="4">
        <v>1</v>
      </c>
      <c r="G69" s="5">
        <v>5.2</v>
      </c>
      <c r="H69" s="13" t="s">
        <v>280</v>
      </c>
      <c r="I69" s="13">
        <v>97</v>
      </c>
      <c r="J69">
        <v>2764.94</v>
      </c>
      <c r="K69">
        <v>2766.32</v>
      </c>
      <c r="L69">
        <f t="shared" ref="L69" si="10">K69-J69</f>
        <v>1.3800000000001091</v>
      </c>
      <c r="M69">
        <f t="shared" ref="M69" si="11">L69/I69</f>
        <v>1.4226804123712465E-2</v>
      </c>
      <c r="N69">
        <f t="shared" si="9"/>
        <v>20.370000000000005</v>
      </c>
      <c r="O69" s="9">
        <f t="shared" ref="O69:O100" si="12">L69/N69</f>
        <v>6.7746686303392673E-2</v>
      </c>
      <c r="P69" s="20">
        <f t="shared" ref="P69:P100" si="13">L69*100/N69</f>
        <v>6.774668630339268</v>
      </c>
    </row>
    <row r="70" spans="1:16" x14ac:dyDescent="0.25">
      <c r="A70" s="4">
        <v>67</v>
      </c>
      <c r="B70" s="4" t="s">
        <v>143</v>
      </c>
      <c r="C70" s="4" t="s">
        <v>65</v>
      </c>
      <c r="D70" s="4">
        <v>13</v>
      </c>
      <c r="E70" s="4">
        <v>2</v>
      </c>
      <c r="F70" s="4">
        <v>2</v>
      </c>
      <c r="G70" s="5">
        <v>9.6999999999999993</v>
      </c>
      <c r="H70" s="13" t="s">
        <v>281</v>
      </c>
      <c r="I70" s="13">
        <v>114.9</v>
      </c>
      <c r="J70">
        <v>2764.94</v>
      </c>
      <c r="K70">
        <v>2766.32</v>
      </c>
      <c r="L70">
        <f t="shared" ref="L70" si="14">K70-J70</f>
        <v>1.3800000000001091</v>
      </c>
      <c r="M70">
        <f t="shared" ref="M70" si="15">L70/I70</f>
        <v>1.2010443864230714E-2</v>
      </c>
      <c r="N70">
        <f t="shared" si="9"/>
        <v>24.129000000000005</v>
      </c>
      <c r="O70" s="9">
        <f t="shared" si="12"/>
        <v>5.7192589829670057E-2</v>
      </c>
      <c r="P70" s="20">
        <f t="shared" si="13"/>
        <v>5.7192589829670055</v>
      </c>
    </row>
    <row r="71" spans="1:16" x14ac:dyDescent="0.25">
      <c r="A71" s="4">
        <v>68</v>
      </c>
      <c r="B71" s="4" t="s">
        <v>145</v>
      </c>
      <c r="C71" s="4" t="s">
        <v>65</v>
      </c>
      <c r="D71" s="4">
        <v>13</v>
      </c>
      <c r="E71" s="4">
        <v>2</v>
      </c>
      <c r="F71" s="4">
        <v>3</v>
      </c>
      <c r="G71" s="5">
        <v>5.0999999999999996</v>
      </c>
      <c r="H71" s="13" t="s">
        <v>282</v>
      </c>
      <c r="I71" s="13">
        <v>92.1</v>
      </c>
      <c r="J71">
        <v>2734.2</v>
      </c>
      <c r="K71">
        <v>2735.18</v>
      </c>
      <c r="L71">
        <f t="shared" ref="L71:L98" si="16">K71-J71</f>
        <v>0.98000000000001819</v>
      </c>
      <c r="M71">
        <f t="shared" ref="M71:M98" si="17">L71/I71</f>
        <v>1.0640608034745041E-2</v>
      </c>
      <c r="N71">
        <f t="shared" si="9"/>
        <v>19.340999999999994</v>
      </c>
      <c r="O71" s="9">
        <f t="shared" si="12"/>
        <v>5.0669562070214495E-2</v>
      </c>
      <c r="P71" s="20">
        <f t="shared" si="13"/>
        <v>5.0669562070214491</v>
      </c>
    </row>
    <row r="72" spans="1:16" x14ac:dyDescent="0.25">
      <c r="A72" s="4">
        <v>69</v>
      </c>
      <c r="B72" s="4" t="s">
        <v>147</v>
      </c>
      <c r="C72" s="4" t="s">
        <v>65</v>
      </c>
      <c r="D72" s="4">
        <v>13</v>
      </c>
      <c r="E72" s="4">
        <v>2</v>
      </c>
      <c r="F72" s="4">
        <v>4</v>
      </c>
      <c r="G72" s="5">
        <v>5.7</v>
      </c>
      <c r="H72" s="13" t="s">
        <v>283</v>
      </c>
      <c r="I72" s="13">
        <v>107.5</v>
      </c>
      <c r="J72">
        <v>2721.06</v>
      </c>
      <c r="K72">
        <v>2722.15</v>
      </c>
      <c r="L72">
        <f t="shared" si="16"/>
        <v>1.0900000000001455</v>
      </c>
      <c r="M72">
        <f t="shared" si="17"/>
        <v>1.0139534883722283E-2</v>
      </c>
      <c r="N72">
        <f t="shared" si="9"/>
        <v>22.575000000000003</v>
      </c>
      <c r="O72" s="9">
        <f t="shared" si="12"/>
        <v>4.8283499446296584E-2</v>
      </c>
      <c r="P72" s="20">
        <f t="shared" si="13"/>
        <v>4.8283499446296583</v>
      </c>
    </row>
    <row r="73" spans="1:16" x14ac:dyDescent="0.25">
      <c r="A73" s="4">
        <v>70</v>
      </c>
      <c r="B73" s="4" t="s">
        <v>149</v>
      </c>
      <c r="C73" s="4" t="s">
        <v>65</v>
      </c>
      <c r="D73" s="4">
        <v>13</v>
      </c>
      <c r="E73" s="4">
        <v>2</v>
      </c>
      <c r="F73" s="4">
        <v>5</v>
      </c>
      <c r="G73" s="5">
        <v>5.8</v>
      </c>
      <c r="H73" s="13" t="s">
        <v>284</v>
      </c>
      <c r="I73" s="13">
        <v>114.7</v>
      </c>
      <c r="J73">
        <v>2805.52</v>
      </c>
      <c r="K73">
        <v>2806.63</v>
      </c>
      <c r="L73">
        <f t="shared" si="16"/>
        <v>1.1100000000001273</v>
      </c>
      <c r="M73">
        <f t="shared" si="17"/>
        <v>9.6774193548398203E-3</v>
      </c>
      <c r="N73">
        <f t="shared" si="9"/>
        <v>24.086999999999989</v>
      </c>
      <c r="O73" s="9">
        <f t="shared" si="12"/>
        <v>4.608294930876107E-2</v>
      </c>
      <c r="P73" s="20">
        <f t="shared" si="13"/>
        <v>4.6082949308761068</v>
      </c>
    </row>
    <row r="74" spans="1:16" x14ac:dyDescent="0.25">
      <c r="A74" s="4">
        <v>71</v>
      </c>
      <c r="B74" s="7" t="s">
        <v>151</v>
      </c>
      <c r="C74" s="7" t="s">
        <v>65</v>
      </c>
      <c r="D74" s="7">
        <v>13</v>
      </c>
      <c r="E74" s="7">
        <v>2</v>
      </c>
      <c r="F74" s="7">
        <v>6</v>
      </c>
      <c r="G74" s="8">
        <v>6.3</v>
      </c>
      <c r="H74" s="13" t="s">
        <v>285</v>
      </c>
      <c r="I74" s="13">
        <v>112.3</v>
      </c>
      <c r="O74" s="9" t="e">
        <f t="shared" si="12"/>
        <v>#DIV/0!</v>
      </c>
      <c r="P74" s="20" t="e">
        <f t="shared" si="13"/>
        <v>#DIV/0!</v>
      </c>
    </row>
    <row r="75" spans="1:16" x14ac:dyDescent="0.25">
      <c r="A75" s="4">
        <v>72</v>
      </c>
      <c r="B75" s="7" t="s">
        <v>153</v>
      </c>
      <c r="C75" s="7" t="s">
        <v>65</v>
      </c>
      <c r="D75" s="7">
        <v>13</v>
      </c>
      <c r="E75" s="7">
        <v>2</v>
      </c>
      <c r="F75" s="7">
        <v>7</v>
      </c>
      <c r="G75" s="8">
        <v>6.25</v>
      </c>
      <c r="H75" s="13" t="s">
        <v>286</v>
      </c>
      <c r="I75" s="13">
        <v>106.6</v>
      </c>
      <c r="O75" s="9" t="e">
        <f t="shared" si="12"/>
        <v>#DIV/0!</v>
      </c>
      <c r="P75" s="20" t="e">
        <f t="shared" si="13"/>
        <v>#DIV/0!</v>
      </c>
    </row>
    <row r="76" spans="1:16" x14ac:dyDescent="0.25">
      <c r="A76" s="4">
        <v>73</v>
      </c>
      <c r="B76" s="7" t="s">
        <v>155</v>
      </c>
      <c r="C76" s="7" t="s">
        <v>65</v>
      </c>
      <c r="D76" s="7">
        <v>13</v>
      </c>
      <c r="E76" s="7">
        <v>2</v>
      </c>
      <c r="F76" s="7">
        <v>8</v>
      </c>
      <c r="G76" s="8">
        <v>8.5500000000000007</v>
      </c>
      <c r="H76" s="13" t="s">
        <v>287</v>
      </c>
      <c r="I76" s="13">
        <v>100.4</v>
      </c>
      <c r="O76" s="9" t="e">
        <f t="shared" si="12"/>
        <v>#DIV/0!</v>
      </c>
      <c r="P76" s="20" t="e">
        <f t="shared" si="13"/>
        <v>#DIV/0!</v>
      </c>
    </row>
    <row r="77" spans="1:16" x14ac:dyDescent="0.25">
      <c r="A77" s="4">
        <v>74</v>
      </c>
      <c r="B77" s="4" t="s">
        <v>157</v>
      </c>
      <c r="C77" s="4" t="s">
        <v>65</v>
      </c>
      <c r="D77" s="4">
        <v>54</v>
      </c>
      <c r="E77" s="4">
        <v>9</v>
      </c>
      <c r="F77" s="4">
        <v>1</v>
      </c>
      <c r="G77" s="5">
        <v>6.3</v>
      </c>
      <c r="H77" s="13" t="s">
        <v>288</v>
      </c>
      <c r="I77" s="13">
        <v>98.8</v>
      </c>
      <c r="J77">
        <v>2923.78</v>
      </c>
      <c r="K77">
        <v>2925.15</v>
      </c>
      <c r="L77">
        <f t="shared" si="16"/>
        <v>1.3699999999998909</v>
      </c>
      <c r="M77">
        <f t="shared" si="17"/>
        <v>1.3866396761132499E-2</v>
      </c>
      <c r="N77">
        <f>I77-(I77*77/100)</f>
        <v>22.724000000000004</v>
      </c>
      <c r="O77" s="9">
        <f t="shared" si="12"/>
        <v>6.0288681570141285E-2</v>
      </c>
      <c r="P77" s="20">
        <f t="shared" si="13"/>
        <v>6.0288681570141289</v>
      </c>
    </row>
    <row r="78" spans="1:16" x14ac:dyDescent="0.25">
      <c r="A78" s="4">
        <v>75</v>
      </c>
      <c r="B78" s="4" t="s">
        <v>159</v>
      </c>
      <c r="C78" s="4" t="s">
        <v>65</v>
      </c>
      <c r="D78" s="4">
        <v>54</v>
      </c>
      <c r="E78" s="4">
        <v>9</v>
      </c>
      <c r="F78" s="4">
        <v>2</v>
      </c>
      <c r="G78" s="5">
        <v>7.25</v>
      </c>
      <c r="H78" s="13" t="s">
        <v>289</v>
      </c>
      <c r="I78" s="13">
        <v>133.80000000000001</v>
      </c>
      <c r="J78">
        <v>2754.44</v>
      </c>
      <c r="K78">
        <v>2756.32</v>
      </c>
      <c r="L78">
        <f t="shared" si="16"/>
        <v>1.8800000000001091</v>
      </c>
      <c r="M78">
        <f t="shared" si="17"/>
        <v>1.4050822122571817E-2</v>
      </c>
      <c r="N78">
        <f t="shared" ref="N78:N98" si="18">I78-(I78*77/100)</f>
        <v>30.774000000000001</v>
      </c>
      <c r="O78" s="9">
        <f t="shared" si="12"/>
        <v>6.1090530967703553E-2</v>
      </c>
      <c r="P78" s="20">
        <f t="shared" si="13"/>
        <v>6.1090530967703547</v>
      </c>
    </row>
    <row r="79" spans="1:16" x14ac:dyDescent="0.25">
      <c r="A79" s="4">
        <v>76</v>
      </c>
      <c r="B79" s="4" t="s">
        <v>161</v>
      </c>
      <c r="C79" s="4" t="s">
        <v>65</v>
      </c>
      <c r="D79" s="4">
        <v>54</v>
      </c>
      <c r="E79" s="4">
        <v>9</v>
      </c>
      <c r="F79" s="4">
        <v>3</v>
      </c>
      <c r="G79" s="5">
        <v>10.75</v>
      </c>
      <c r="H79" s="13" t="s">
        <v>290</v>
      </c>
      <c r="I79" s="13">
        <v>103.2</v>
      </c>
      <c r="J79">
        <v>2722.49</v>
      </c>
      <c r="K79">
        <v>2723.57</v>
      </c>
      <c r="L79">
        <f t="shared" si="16"/>
        <v>1.080000000000382</v>
      </c>
      <c r="M79">
        <f t="shared" si="17"/>
        <v>1.0465116279073469E-2</v>
      </c>
      <c r="N79">
        <f t="shared" si="18"/>
        <v>23.736000000000004</v>
      </c>
      <c r="O79" s="9">
        <f t="shared" si="12"/>
        <v>4.5500505561188988E-2</v>
      </c>
      <c r="P79" s="20">
        <f t="shared" si="13"/>
        <v>4.5500505561188991</v>
      </c>
    </row>
    <row r="80" spans="1:16" x14ac:dyDescent="0.25">
      <c r="A80" s="4">
        <v>77</v>
      </c>
      <c r="B80" s="4" t="s">
        <v>163</v>
      </c>
      <c r="C80" s="4" t="s">
        <v>65</v>
      </c>
      <c r="D80" s="4">
        <v>54</v>
      </c>
      <c r="E80" s="4">
        <v>9</v>
      </c>
      <c r="F80" s="4">
        <v>4</v>
      </c>
      <c r="G80" s="5">
        <v>10</v>
      </c>
      <c r="H80" s="13" t="s">
        <v>291</v>
      </c>
      <c r="I80" s="13">
        <v>115.4</v>
      </c>
      <c r="J80">
        <v>2787.14</v>
      </c>
      <c r="K80">
        <v>2788.69</v>
      </c>
      <c r="L80">
        <f t="shared" si="16"/>
        <v>1.5500000000001819</v>
      </c>
      <c r="M80">
        <f t="shared" si="17"/>
        <v>1.3431542461006776E-2</v>
      </c>
      <c r="N80">
        <f t="shared" si="18"/>
        <v>26.542000000000002</v>
      </c>
      <c r="O80" s="9">
        <f t="shared" si="12"/>
        <v>5.8398010700029458E-2</v>
      </c>
      <c r="P80" s="20">
        <f t="shared" si="13"/>
        <v>5.8398010700029452</v>
      </c>
    </row>
    <row r="81" spans="1:16" x14ac:dyDescent="0.25">
      <c r="A81" s="4">
        <v>78</v>
      </c>
      <c r="B81" s="4" t="s">
        <v>165</v>
      </c>
      <c r="C81" s="4" t="s">
        <v>65</v>
      </c>
      <c r="D81" s="4">
        <v>54</v>
      </c>
      <c r="E81" s="4">
        <v>9</v>
      </c>
      <c r="F81" s="4">
        <v>5</v>
      </c>
      <c r="G81" s="5">
        <v>8.25</v>
      </c>
      <c r="H81" s="13" t="s">
        <v>292</v>
      </c>
      <c r="I81" s="13">
        <v>120.4</v>
      </c>
      <c r="J81">
        <v>2764.58</v>
      </c>
      <c r="K81">
        <v>2766.29</v>
      </c>
      <c r="L81">
        <f t="shared" si="16"/>
        <v>1.7100000000000364</v>
      </c>
      <c r="M81">
        <f t="shared" si="17"/>
        <v>1.4202657807309272E-2</v>
      </c>
      <c r="N81">
        <f t="shared" si="18"/>
        <v>27.691999999999993</v>
      </c>
      <c r="O81" s="9">
        <f t="shared" si="12"/>
        <v>6.1750686118735978E-2</v>
      </c>
      <c r="P81" s="20">
        <f t="shared" si="13"/>
        <v>6.1750686118735985</v>
      </c>
    </row>
    <row r="82" spans="1:16" x14ac:dyDescent="0.25">
      <c r="A82" s="4">
        <v>79</v>
      </c>
      <c r="B82" s="7" t="s">
        <v>167</v>
      </c>
      <c r="C82" s="7" t="s">
        <v>65</v>
      </c>
      <c r="D82" s="7">
        <v>54</v>
      </c>
      <c r="E82" s="7">
        <v>9</v>
      </c>
      <c r="F82" s="7">
        <v>6</v>
      </c>
      <c r="G82" s="8">
        <v>6.35</v>
      </c>
      <c r="H82" s="13" t="s">
        <v>293</v>
      </c>
      <c r="I82" s="13">
        <v>102.8</v>
      </c>
      <c r="O82" s="9" t="e">
        <f t="shared" si="12"/>
        <v>#DIV/0!</v>
      </c>
      <c r="P82" s="20" t="e">
        <f t="shared" si="13"/>
        <v>#DIV/0!</v>
      </c>
    </row>
    <row r="83" spans="1:16" x14ac:dyDescent="0.25">
      <c r="A83" s="4">
        <v>80</v>
      </c>
      <c r="B83" s="7" t="s">
        <v>169</v>
      </c>
      <c r="C83" s="7" t="s">
        <v>65</v>
      </c>
      <c r="D83" s="7">
        <v>54</v>
      </c>
      <c r="E83" s="7">
        <v>9</v>
      </c>
      <c r="F83" s="7">
        <v>7</v>
      </c>
      <c r="G83" s="8">
        <v>4.7</v>
      </c>
      <c r="H83" s="13" t="s">
        <v>294</v>
      </c>
      <c r="I83" s="13">
        <v>107.1</v>
      </c>
      <c r="O83" s="9" t="e">
        <f t="shared" si="12"/>
        <v>#DIV/0!</v>
      </c>
      <c r="P83" s="20" t="e">
        <f t="shared" si="13"/>
        <v>#DIV/0!</v>
      </c>
    </row>
    <row r="84" spans="1:16" x14ac:dyDescent="0.25">
      <c r="A84" s="4">
        <v>81</v>
      </c>
      <c r="B84" s="7" t="s">
        <v>171</v>
      </c>
      <c r="C84" s="7" t="s">
        <v>65</v>
      </c>
      <c r="D84" s="7">
        <v>54</v>
      </c>
      <c r="E84" s="7">
        <v>9</v>
      </c>
      <c r="F84" s="7">
        <v>8</v>
      </c>
      <c r="G84" s="8">
        <v>6.6</v>
      </c>
      <c r="H84" s="13" t="s">
        <v>295</v>
      </c>
      <c r="I84" s="13">
        <v>134.80000000000001</v>
      </c>
      <c r="O84" s="9" t="e">
        <f t="shared" si="12"/>
        <v>#DIV/0!</v>
      </c>
      <c r="P84" s="20" t="e">
        <f t="shared" si="13"/>
        <v>#DIV/0!</v>
      </c>
    </row>
    <row r="85" spans="1:16" x14ac:dyDescent="0.25">
      <c r="A85" s="4">
        <v>82</v>
      </c>
      <c r="B85" s="4" t="s">
        <v>173</v>
      </c>
      <c r="C85" s="4" t="s">
        <v>65</v>
      </c>
      <c r="D85" s="4">
        <v>54</v>
      </c>
      <c r="E85" s="4">
        <v>6</v>
      </c>
      <c r="F85" s="4">
        <v>1</v>
      </c>
      <c r="G85" s="5">
        <v>5.9</v>
      </c>
      <c r="H85" s="13" t="s">
        <v>296</v>
      </c>
      <c r="I85" s="13">
        <v>100</v>
      </c>
      <c r="J85">
        <v>2778.69</v>
      </c>
      <c r="K85">
        <v>2779.91</v>
      </c>
      <c r="L85">
        <f t="shared" si="16"/>
        <v>1.2199999999997999</v>
      </c>
      <c r="M85">
        <f t="shared" si="17"/>
        <v>1.2199999999997999E-2</v>
      </c>
      <c r="N85">
        <f t="shared" si="18"/>
        <v>23</v>
      </c>
      <c r="O85" s="9">
        <f t="shared" si="12"/>
        <v>5.3043478260860866E-2</v>
      </c>
      <c r="P85" s="20">
        <f t="shared" si="13"/>
        <v>5.3043478260860866</v>
      </c>
    </row>
    <row r="86" spans="1:16" x14ac:dyDescent="0.25">
      <c r="A86" s="4">
        <v>83</v>
      </c>
      <c r="B86" s="4" t="s">
        <v>175</v>
      </c>
      <c r="C86" s="4" t="s">
        <v>65</v>
      </c>
      <c r="D86" s="4">
        <v>54</v>
      </c>
      <c r="E86" s="4">
        <v>6</v>
      </c>
      <c r="F86" s="4">
        <v>2</v>
      </c>
      <c r="G86" s="5">
        <v>7.45</v>
      </c>
      <c r="H86" s="13" t="s">
        <v>297</v>
      </c>
      <c r="I86" s="13">
        <v>111.4</v>
      </c>
      <c r="J86">
        <v>2737.77</v>
      </c>
      <c r="K86">
        <v>2738.94</v>
      </c>
      <c r="L86">
        <f t="shared" si="16"/>
        <v>1.1700000000000728</v>
      </c>
      <c r="M86">
        <f t="shared" si="17"/>
        <v>1.050269299820532E-2</v>
      </c>
      <c r="N86">
        <f t="shared" si="18"/>
        <v>25.622</v>
      </c>
      <c r="O86" s="9">
        <f t="shared" si="12"/>
        <v>4.56638826008927E-2</v>
      </c>
      <c r="P86" s="20">
        <f t="shared" si="13"/>
        <v>4.56638826008927</v>
      </c>
    </row>
    <row r="87" spans="1:16" x14ac:dyDescent="0.25">
      <c r="A87" s="4">
        <v>84</v>
      </c>
      <c r="B87" s="4" t="s">
        <v>177</v>
      </c>
      <c r="C87" s="4" t="s">
        <v>65</v>
      </c>
      <c r="D87" s="4">
        <v>54</v>
      </c>
      <c r="E87" s="4">
        <v>6</v>
      </c>
      <c r="F87" s="4">
        <v>3</v>
      </c>
      <c r="G87" s="5">
        <v>6</v>
      </c>
      <c r="H87" s="13" t="s">
        <v>298</v>
      </c>
      <c r="I87" s="13">
        <v>101.5</v>
      </c>
      <c r="J87">
        <v>2773.82</v>
      </c>
      <c r="K87">
        <v>2775.05</v>
      </c>
      <c r="L87">
        <f t="shared" si="16"/>
        <v>1.2300000000000182</v>
      </c>
      <c r="M87">
        <f t="shared" si="17"/>
        <v>1.2118226600985401E-2</v>
      </c>
      <c r="N87">
        <f t="shared" si="18"/>
        <v>23.344999999999999</v>
      </c>
      <c r="O87" s="9">
        <f t="shared" si="12"/>
        <v>5.268794174341479E-2</v>
      </c>
      <c r="P87" s="20">
        <f t="shared" si="13"/>
        <v>5.2687941743414788</v>
      </c>
    </row>
    <row r="88" spans="1:16" x14ac:dyDescent="0.25">
      <c r="A88" s="4">
        <v>85</v>
      </c>
      <c r="B88" s="4" t="s">
        <v>179</v>
      </c>
      <c r="C88" s="4" t="s">
        <v>65</v>
      </c>
      <c r="D88" s="4">
        <v>54</v>
      </c>
      <c r="E88" s="4">
        <v>6</v>
      </c>
      <c r="F88" s="4">
        <v>4</v>
      </c>
      <c r="G88" s="5">
        <v>5.05</v>
      </c>
      <c r="H88" s="13" t="s">
        <v>299</v>
      </c>
      <c r="I88" s="13">
        <v>97.3</v>
      </c>
      <c r="J88">
        <v>2759.45</v>
      </c>
      <c r="K88">
        <v>2761.09</v>
      </c>
      <c r="L88">
        <f t="shared" si="16"/>
        <v>1.6400000000003274</v>
      </c>
      <c r="M88">
        <f t="shared" si="17"/>
        <v>1.6855087358687848E-2</v>
      </c>
      <c r="N88">
        <f t="shared" si="18"/>
        <v>22.379000000000005</v>
      </c>
      <c r="O88" s="9">
        <f t="shared" si="12"/>
        <v>7.3282988516034098E-2</v>
      </c>
      <c r="P88" s="20">
        <f t="shared" si="13"/>
        <v>7.3282988516034093</v>
      </c>
    </row>
    <row r="89" spans="1:16" x14ac:dyDescent="0.25">
      <c r="A89" s="4">
        <v>86</v>
      </c>
      <c r="B89" s="4" t="s">
        <v>181</v>
      </c>
      <c r="C89" s="4" t="s">
        <v>65</v>
      </c>
      <c r="D89" s="4">
        <v>54</v>
      </c>
      <c r="E89" s="4">
        <v>6</v>
      </c>
      <c r="F89" s="4">
        <v>5</v>
      </c>
      <c r="G89" s="5">
        <v>8.9</v>
      </c>
      <c r="H89" s="13" t="s">
        <v>300</v>
      </c>
      <c r="I89" s="13">
        <v>109.9</v>
      </c>
      <c r="J89">
        <v>2799.16</v>
      </c>
      <c r="K89">
        <v>2800.86</v>
      </c>
      <c r="L89">
        <f t="shared" si="16"/>
        <v>1.7000000000002728</v>
      </c>
      <c r="M89">
        <f t="shared" si="17"/>
        <v>1.5468607825298205E-2</v>
      </c>
      <c r="N89">
        <f t="shared" si="18"/>
        <v>25.277000000000001</v>
      </c>
      <c r="O89" s="9">
        <f t="shared" si="12"/>
        <v>6.7254816631731329E-2</v>
      </c>
      <c r="P89" s="20">
        <f t="shared" si="13"/>
        <v>6.7254816631731327</v>
      </c>
    </row>
    <row r="90" spans="1:16" x14ac:dyDescent="0.25">
      <c r="A90" s="4">
        <v>87</v>
      </c>
      <c r="B90" s="7" t="s">
        <v>183</v>
      </c>
      <c r="C90" s="7" t="s">
        <v>65</v>
      </c>
      <c r="D90" s="7">
        <v>54</v>
      </c>
      <c r="E90" s="7">
        <v>6</v>
      </c>
      <c r="F90" s="7">
        <v>6</v>
      </c>
      <c r="G90" s="8">
        <v>8.6</v>
      </c>
      <c r="H90" s="13" t="s">
        <v>301</v>
      </c>
      <c r="I90" s="13">
        <v>108.7</v>
      </c>
      <c r="O90" s="9" t="e">
        <f t="shared" si="12"/>
        <v>#DIV/0!</v>
      </c>
      <c r="P90" s="20" t="e">
        <f t="shared" si="13"/>
        <v>#DIV/0!</v>
      </c>
    </row>
    <row r="91" spans="1:16" x14ac:dyDescent="0.25">
      <c r="A91" s="4">
        <v>88</v>
      </c>
      <c r="B91" s="7" t="s">
        <v>185</v>
      </c>
      <c r="C91" s="7" t="s">
        <v>65</v>
      </c>
      <c r="D91" s="7">
        <v>54</v>
      </c>
      <c r="E91" s="7">
        <v>6</v>
      </c>
      <c r="F91" s="7">
        <v>7</v>
      </c>
      <c r="G91" s="8">
        <v>6.7</v>
      </c>
      <c r="H91" s="13" t="s">
        <v>302</v>
      </c>
      <c r="I91" s="13">
        <v>103.3</v>
      </c>
      <c r="O91" s="9" t="e">
        <f t="shared" si="12"/>
        <v>#DIV/0!</v>
      </c>
      <c r="P91" s="20" t="e">
        <f t="shared" si="13"/>
        <v>#DIV/0!</v>
      </c>
    </row>
    <row r="92" spans="1:16" x14ac:dyDescent="0.25">
      <c r="A92" s="4">
        <v>89</v>
      </c>
      <c r="B92" s="7" t="s">
        <v>187</v>
      </c>
      <c r="C92" s="7" t="s">
        <v>65</v>
      </c>
      <c r="D92" s="7">
        <v>54</v>
      </c>
      <c r="E92" s="7">
        <v>6</v>
      </c>
      <c r="F92" s="7">
        <v>8</v>
      </c>
      <c r="G92" s="8">
        <v>6</v>
      </c>
      <c r="H92" s="13" t="s">
        <v>303</v>
      </c>
      <c r="I92" s="13">
        <v>105.9</v>
      </c>
      <c r="O92" s="9" t="e">
        <f t="shared" si="12"/>
        <v>#DIV/0!</v>
      </c>
      <c r="P92" s="20" t="e">
        <f t="shared" si="13"/>
        <v>#DIV/0!</v>
      </c>
    </row>
    <row r="93" spans="1:16" x14ac:dyDescent="0.25">
      <c r="A93" s="4">
        <v>90</v>
      </c>
      <c r="B93" s="4" t="s">
        <v>189</v>
      </c>
      <c r="C93" s="4" t="s">
        <v>65</v>
      </c>
      <c r="D93" s="4">
        <v>54</v>
      </c>
      <c r="E93" s="4">
        <v>8</v>
      </c>
      <c r="F93" s="4">
        <v>1</v>
      </c>
      <c r="G93" s="5">
        <v>6.65</v>
      </c>
      <c r="H93" s="13" t="s">
        <v>304</v>
      </c>
      <c r="I93" s="13">
        <v>134.69999999999999</v>
      </c>
      <c r="J93">
        <v>2784.75</v>
      </c>
      <c r="K93">
        <v>2786.56</v>
      </c>
      <c r="L93">
        <f t="shared" si="16"/>
        <v>1.8099999999999454</v>
      </c>
      <c r="M93">
        <f t="shared" si="17"/>
        <v>1.3437268002969158E-2</v>
      </c>
      <c r="N93">
        <f t="shared" si="18"/>
        <v>30.980999999999995</v>
      </c>
      <c r="O93" s="9">
        <f t="shared" si="12"/>
        <v>5.8422904360735474E-2</v>
      </c>
      <c r="P93" s="20">
        <f t="shared" si="13"/>
        <v>5.8422904360735473</v>
      </c>
    </row>
    <row r="94" spans="1:16" x14ac:dyDescent="0.25">
      <c r="A94" s="4">
        <v>91</v>
      </c>
      <c r="B94" s="4" t="s">
        <v>191</v>
      </c>
      <c r="C94" s="4" t="s">
        <v>65</v>
      </c>
      <c r="D94" s="4">
        <v>54</v>
      </c>
      <c r="E94" s="4">
        <v>8</v>
      </c>
      <c r="F94" s="4">
        <v>2</v>
      </c>
      <c r="G94" s="5">
        <v>7.55</v>
      </c>
      <c r="H94" s="13" t="s">
        <v>305</v>
      </c>
      <c r="I94" s="13">
        <v>124.9</v>
      </c>
      <c r="J94" t="s">
        <v>317</v>
      </c>
      <c r="O94" s="9" t="e">
        <f t="shared" si="12"/>
        <v>#DIV/0!</v>
      </c>
      <c r="P94" s="20" t="e">
        <f t="shared" si="13"/>
        <v>#DIV/0!</v>
      </c>
    </row>
    <row r="95" spans="1:16" x14ac:dyDescent="0.25">
      <c r="A95" s="4">
        <v>92</v>
      </c>
      <c r="B95" s="4" t="s">
        <v>193</v>
      </c>
      <c r="C95" s="4" t="s">
        <v>65</v>
      </c>
      <c r="D95" s="4">
        <v>54</v>
      </c>
      <c r="E95" s="4">
        <v>8</v>
      </c>
      <c r="F95" s="4">
        <v>3</v>
      </c>
      <c r="G95" s="5">
        <v>9.6</v>
      </c>
      <c r="H95" s="13" t="s">
        <v>306</v>
      </c>
      <c r="I95" s="13">
        <v>112.5</v>
      </c>
      <c r="J95">
        <v>2765.79</v>
      </c>
      <c r="K95">
        <v>2767.17</v>
      </c>
      <c r="L95">
        <f>K95-J95</f>
        <v>1.3800000000001091</v>
      </c>
      <c r="M95">
        <f t="shared" si="17"/>
        <v>1.2266666666667637E-2</v>
      </c>
      <c r="N95">
        <f t="shared" si="18"/>
        <v>25.875</v>
      </c>
      <c r="O95" s="9">
        <f t="shared" si="12"/>
        <v>5.3333333333337549E-2</v>
      </c>
      <c r="P95" s="20">
        <f t="shared" si="13"/>
        <v>5.3333333333337549</v>
      </c>
    </row>
    <row r="96" spans="1:16" x14ac:dyDescent="0.25">
      <c r="A96" s="4">
        <v>93</v>
      </c>
      <c r="B96" s="4" t="s">
        <v>195</v>
      </c>
      <c r="C96" s="4" t="s">
        <v>65</v>
      </c>
      <c r="D96" s="4">
        <v>54</v>
      </c>
      <c r="E96" s="4">
        <v>8</v>
      </c>
      <c r="F96" s="4">
        <v>4</v>
      </c>
      <c r="G96" s="5">
        <v>7.3</v>
      </c>
      <c r="H96" s="13" t="s">
        <v>307</v>
      </c>
      <c r="I96" s="13">
        <v>115.5</v>
      </c>
      <c r="J96">
        <v>2755.04</v>
      </c>
      <c r="K96">
        <v>2756.36</v>
      </c>
      <c r="L96">
        <f t="shared" si="16"/>
        <v>1.3200000000001637</v>
      </c>
      <c r="M96">
        <f t="shared" si="17"/>
        <v>1.1428571428572846E-2</v>
      </c>
      <c r="N96">
        <f t="shared" si="18"/>
        <v>26.564999999999998</v>
      </c>
      <c r="O96" s="9">
        <f t="shared" si="12"/>
        <v>4.9689440993794985E-2</v>
      </c>
      <c r="P96" s="20">
        <f t="shared" si="13"/>
        <v>4.9689440993794989</v>
      </c>
    </row>
    <row r="97" spans="1:16" x14ac:dyDescent="0.25">
      <c r="A97" s="4">
        <v>94</v>
      </c>
      <c r="B97" s="4" t="s">
        <v>197</v>
      </c>
      <c r="C97" s="4" t="s">
        <v>65</v>
      </c>
      <c r="D97" s="4">
        <v>54</v>
      </c>
      <c r="E97" s="4">
        <v>8</v>
      </c>
      <c r="F97" s="4">
        <v>5</v>
      </c>
      <c r="G97" s="5">
        <v>6.55</v>
      </c>
      <c r="H97" s="13" t="s">
        <v>308</v>
      </c>
      <c r="I97" s="13">
        <v>118.4</v>
      </c>
      <c r="J97">
        <v>2841.64</v>
      </c>
      <c r="K97">
        <v>2843.36</v>
      </c>
      <c r="L97">
        <f t="shared" si="16"/>
        <v>1.7200000000002547</v>
      </c>
      <c r="M97">
        <f t="shared" si="17"/>
        <v>1.4527027027029177E-2</v>
      </c>
      <c r="N97">
        <f t="shared" si="18"/>
        <v>27.231999999999999</v>
      </c>
      <c r="O97" s="9">
        <f t="shared" si="12"/>
        <v>6.3160987074039901E-2</v>
      </c>
      <c r="P97" s="20">
        <f t="shared" si="13"/>
        <v>6.3160987074039907</v>
      </c>
    </row>
    <row r="98" spans="1:16" x14ac:dyDescent="0.25">
      <c r="A98" s="4">
        <v>95</v>
      </c>
      <c r="B98" s="7" t="s">
        <v>199</v>
      </c>
      <c r="C98" s="7" t="s">
        <v>65</v>
      </c>
      <c r="D98" s="7">
        <v>54</v>
      </c>
      <c r="E98" s="7">
        <v>8</v>
      </c>
      <c r="F98" s="7">
        <v>6</v>
      </c>
      <c r="G98" s="8">
        <v>6.85</v>
      </c>
      <c r="H98" s="13" t="s">
        <v>309</v>
      </c>
      <c r="I98" s="13">
        <v>118</v>
      </c>
      <c r="J98">
        <v>2747.3</v>
      </c>
      <c r="K98">
        <v>2749.18</v>
      </c>
      <c r="L98">
        <f t="shared" si="16"/>
        <v>1.8799999999996544</v>
      </c>
      <c r="M98">
        <f t="shared" si="17"/>
        <v>1.5932203389827579E-2</v>
      </c>
      <c r="N98">
        <f t="shared" si="18"/>
        <v>27.14</v>
      </c>
      <c r="O98" s="9">
        <f t="shared" si="12"/>
        <v>6.9270449520989472E-2</v>
      </c>
      <c r="P98" s="20">
        <f t="shared" si="13"/>
        <v>6.9270449520989477</v>
      </c>
    </row>
    <row r="99" spans="1:16" x14ac:dyDescent="0.25">
      <c r="A99" s="4">
        <v>96</v>
      </c>
      <c r="B99" s="7" t="s">
        <v>201</v>
      </c>
      <c r="C99" s="7" t="s">
        <v>65</v>
      </c>
      <c r="D99" s="7">
        <v>54</v>
      </c>
      <c r="E99" s="7">
        <v>8</v>
      </c>
      <c r="F99" s="7">
        <v>7</v>
      </c>
      <c r="G99" s="8">
        <v>8.15</v>
      </c>
      <c r="H99" s="13" t="s">
        <v>310</v>
      </c>
      <c r="I99" s="13">
        <v>95.9</v>
      </c>
      <c r="O99" s="9" t="e">
        <f t="shared" si="12"/>
        <v>#DIV/0!</v>
      </c>
      <c r="P99" s="20" t="e">
        <f t="shared" si="13"/>
        <v>#DIV/0!</v>
      </c>
    </row>
    <row r="100" spans="1:16" x14ac:dyDescent="0.25">
      <c r="A100" s="4">
        <v>97</v>
      </c>
      <c r="B100" s="7" t="s">
        <v>203</v>
      </c>
      <c r="C100" s="7" t="s">
        <v>65</v>
      </c>
      <c r="D100" s="7">
        <v>54</v>
      </c>
      <c r="E100" s="7">
        <v>8</v>
      </c>
      <c r="F100" s="7">
        <v>8</v>
      </c>
      <c r="G100" s="8">
        <v>6.4</v>
      </c>
      <c r="H100" s="13" t="s">
        <v>311</v>
      </c>
      <c r="I100" s="13">
        <v>97.1</v>
      </c>
      <c r="O100" s="9" t="e">
        <f t="shared" si="12"/>
        <v>#DIV/0!</v>
      </c>
      <c r="P100" s="20" t="e">
        <f t="shared" si="13"/>
        <v>#DIV/0!</v>
      </c>
    </row>
  </sheetData>
  <mergeCells count="2">
    <mergeCell ref="A1:G2"/>
    <mergeCell ref="H2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0636-9BC6-4997-851F-37D1518E6F7E}">
  <dimension ref="A1:AC100"/>
  <sheetViews>
    <sheetView tabSelected="1" topLeftCell="D67" workbookViewId="0">
      <selection activeCell="D79" activeCellId="2" sqref="A33:XFD33 A28:XFD28 A79:XFD79"/>
    </sheetView>
  </sheetViews>
  <sheetFormatPr defaultRowHeight="15" x14ac:dyDescent="0.25"/>
  <cols>
    <col min="2" max="2" width="15.140625" bestFit="1" customWidth="1"/>
    <col min="4" max="4" width="10.28515625" bestFit="1" customWidth="1"/>
    <col min="7" max="7" width="17.42578125" customWidth="1"/>
    <col min="8" max="8" width="16.140625" bestFit="1" customWidth="1"/>
    <col min="9" max="9" width="12.140625" bestFit="1" customWidth="1"/>
    <col min="11" max="11" width="11.5703125" bestFit="1" customWidth="1"/>
    <col min="12" max="12" width="13.5703125" bestFit="1" customWidth="1"/>
    <col min="13" max="13" width="10.140625" bestFit="1" customWidth="1"/>
    <col min="14" max="14" width="10.5703125" bestFit="1" customWidth="1"/>
    <col min="15" max="15" width="19.140625" bestFit="1" customWidth="1"/>
    <col min="16" max="16" width="18.28515625" bestFit="1" customWidth="1"/>
    <col min="17" max="17" width="20.85546875" bestFit="1" customWidth="1"/>
    <col min="18" max="18" width="17.85546875" bestFit="1" customWidth="1"/>
    <col min="19" max="19" width="13.140625" bestFit="1" customWidth="1"/>
    <col min="20" max="20" width="14.85546875" customWidth="1"/>
    <col min="21" max="21" width="16.5703125" customWidth="1"/>
    <col min="23" max="23" width="13.140625" customWidth="1"/>
  </cols>
  <sheetData>
    <row r="1" spans="1:29" x14ac:dyDescent="0.25">
      <c r="A1" s="27" t="s">
        <v>0</v>
      </c>
      <c r="B1" s="27"/>
      <c r="C1" s="27"/>
      <c r="D1" s="27"/>
      <c r="E1" s="27"/>
      <c r="F1" s="27"/>
      <c r="G1" s="27"/>
      <c r="J1" s="31" t="s">
        <v>424</v>
      </c>
      <c r="K1" s="32"/>
      <c r="L1" s="32"/>
      <c r="M1" s="32"/>
      <c r="N1" s="33"/>
      <c r="O1" s="37" t="s">
        <v>425</v>
      </c>
      <c r="P1" s="37"/>
      <c r="Q1" s="37"/>
    </row>
    <row r="2" spans="1:29" x14ac:dyDescent="0.25">
      <c r="A2" s="27"/>
      <c r="B2" s="27"/>
      <c r="C2" s="27"/>
      <c r="D2" s="27"/>
      <c r="E2" s="27"/>
      <c r="F2" s="27"/>
      <c r="G2" s="27"/>
      <c r="H2" s="30" t="s">
        <v>415</v>
      </c>
      <c r="I2" s="30"/>
      <c r="J2" s="34"/>
      <c r="K2" s="35"/>
      <c r="L2" s="35"/>
      <c r="M2" s="35"/>
      <c r="N2" s="36"/>
      <c r="O2" s="37"/>
      <c r="P2" s="37"/>
      <c r="Q2" s="37"/>
      <c r="W2" s="11" t="s">
        <v>428</v>
      </c>
    </row>
    <row r="3" spans="1:2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315</v>
      </c>
      <c r="G3" s="2" t="s">
        <v>7</v>
      </c>
      <c r="H3" s="15" t="s">
        <v>213</v>
      </c>
      <c r="I3" s="15" t="s">
        <v>214</v>
      </c>
      <c r="J3" s="17" t="s">
        <v>416</v>
      </c>
      <c r="K3" s="2" t="s">
        <v>417</v>
      </c>
      <c r="L3" s="2" t="s">
        <v>418</v>
      </c>
      <c r="M3" s="2" t="s">
        <v>419</v>
      </c>
      <c r="N3" s="2" t="s">
        <v>420</v>
      </c>
      <c r="O3" s="2" t="s">
        <v>421</v>
      </c>
      <c r="P3" s="2" t="s">
        <v>422</v>
      </c>
      <c r="Q3" s="2" t="s">
        <v>423</v>
      </c>
      <c r="R3" s="10" t="s">
        <v>426</v>
      </c>
      <c r="S3" s="10" t="s">
        <v>440</v>
      </c>
      <c r="T3" s="10" t="s">
        <v>439</v>
      </c>
      <c r="U3" s="17"/>
      <c r="W3" s="11"/>
      <c r="X3" s="11" t="s">
        <v>9</v>
      </c>
      <c r="Y3" s="11"/>
      <c r="Z3" s="11"/>
      <c r="AA3" s="11" t="s">
        <v>65</v>
      </c>
      <c r="AB3" s="11"/>
      <c r="AC3" s="11"/>
    </row>
    <row r="4" spans="1:29" x14ac:dyDescent="0.25">
      <c r="A4" s="4">
        <v>1</v>
      </c>
      <c r="B4" s="4" t="s">
        <v>8</v>
      </c>
      <c r="C4" s="4" t="s">
        <v>9</v>
      </c>
      <c r="D4" s="4" t="s">
        <v>10</v>
      </c>
      <c r="E4" s="4">
        <v>1</v>
      </c>
      <c r="F4" s="4">
        <v>1</v>
      </c>
      <c r="G4" s="5">
        <v>6.65</v>
      </c>
      <c r="H4" s="16" t="s">
        <v>318</v>
      </c>
      <c r="I4" s="16">
        <v>201.6</v>
      </c>
      <c r="J4" s="14">
        <v>26</v>
      </c>
      <c r="K4" s="14">
        <v>114.77</v>
      </c>
      <c r="L4" s="14">
        <v>276.18</v>
      </c>
      <c r="M4" s="18">
        <v>153.27000000000001</v>
      </c>
      <c r="N4" s="14">
        <v>122.9</v>
      </c>
      <c r="O4" s="14">
        <f>L4-K4</f>
        <v>161.41000000000003</v>
      </c>
      <c r="P4" s="14">
        <f>M4-K4</f>
        <v>38.500000000000014</v>
      </c>
      <c r="Q4" s="14">
        <f>N4-K4</f>
        <v>8.1300000000000097</v>
      </c>
      <c r="R4" s="9">
        <f>(O4-P4)*100/O4</f>
        <v>76.147698407781419</v>
      </c>
      <c r="S4" s="9">
        <f>Q4*100/P4</f>
        <v>21.116883116883134</v>
      </c>
      <c r="T4" s="9">
        <f>(P4-Q4)*100/P4</f>
        <v>78.88311688311687</v>
      </c>
      <c r="W4" s="11" t="s">
        <v>4</v>
      </c>
      <c r="X4" s="11" t="s">
        <v>208</v>
      </c>
      <c r="Y4" s="11" t="s">
        <v>209</v>
      </c>
      <c r="Z4" s="11" t="s">
        <v>210</v>
      </c>
      <c r="AA4" s="11" t="s">
        <v>208</v>
      </c>
      <c r="AB4" s="11" t="s">
        <v>209</v>
      </c>
      <c r="AC4" s="11" t="s">
        <v>210</v>
      </c>
    </row>
    <row r="5" spans="1:29" x14ac:dyDescent="0.25">
      <c r="A5" s="4">
        <v>2</v>
      </c>
      <c r="B5" s="4" t="s">
        <v>12</v>
      </c>
      <c r="C5" s="4" t="s">
        <v>9</v>
      </c>
      <c r="D5" s="4" t="s">
        <v>10</v>
      </c>
      <c r="E5" s="4">
        <v>1</v>
      </c>
      <c r="F5" s="4">
        <v>2</v>
      </c>
      <c r="G5" s="5">
        <v>5.45</v>
      </c>
      <c r="H5" s="16" t="s">
        <v>319</v>
      </c>
      <c r="I5" s="16">
        <v>200.5</v>
      </c>
      <c r="J5" s="14">
        <v>56</v>
      </c>
      <c r="K5" s="14">
        <v>120.48</v>
      </c>
      <c r="L5" s="14">
        <v>317.05</v>
      </c>
      <c r="M5" s="18">
        <v>161.81</v>
      </c>
      <c r="N5" s="14">
        <v>131.13999999999999</v>
      </c>
      <c r="O5" s="14">
        <f t="shared" ref="O5:O35" si="0">L5-K5</f>
        <v>196.57</v>
      </c>
      <c r="P5" s="14">
        <f t="shared" ref="P5:P35" si="1">M5-K5</f>
        <v>41.33</v>
      </c>
      <c r="Q5" s="14">
        <f t="shared" ref="Q5:Q35" si="2">N5-K5</f>
        <v>10.659999999999982</v>
      </c>
      <c r="R5" s="9">
        <f t="shared" ref="R5:R66" si="3">(O5-P5)*100/O5</f>
        <v>78.974411151243828</v>
      </c>
      <c r="S5" s="9">
        <f t="shared" ref="S5:S35" si="4">Q5*100/P5</f>
        <v>25.792402613113918</v>
      </c>
      <c r="T5" s="9">
        <f t="shared" ref="T5:T35" si="5">(P5-Q5)*100/P5</f>
        <v>74.207597386886093</v>
      </c>
      <c r="W5" t="s">
        <v>10</v>
      </c>
      <c r="X5">
        <f>AVERAGE(R$4:R$12)</f>
        <v>75.655629865321103</v>
      </c>
      <c r="Y5">
        <f>STDEVA(R$4:R$12)</f>
        <v>2.9169230771974641</v>
      </c>
      <c r="Z5">
        <f>Y5/SQRT(9)</f>
        <v>0.97230769239915471</v>
      </c>
      <c r="AA5">
        <f>AVERAGE(R$31:R$35,R$39:R$43,R$47:R$51)</f>
        <v>79.589243966563757</v>
      </c>
      <c r="AB5">
        <f>STDEVA(R$31:R$35,R$39:R$43,R$47:R$51)</f>
        <v>3.2370368823810258</v>
      </c>
      <c r="AC5">
        <f>AB5/SQRT(15)</f>
        <v>0.83579932910139265</v>
      </c>
    </row>
    <row r="6" spans="1:29" x14ac:dyDescent="0.25">
      <c r="A6" s="4">
        <v>3</v>
      </c>
      <c r="B6" s="4" t="s">
        <v>14</v>
      </c>
      <c r="C6" s="4" t="s">
        <v>9</v>
      </c>
      <c r="D6" s="4" t="s">
        <v>10</v>
      </c>
      <c r="E6" s="4">
        <v>1</v>
      </c>
      <c r="F6" s="4">
        <v>3</v>
      </c>
      <c r="G6" s="5">
        <v>5.75</v>
      </c>
      <c r="H6" s="16" t="s">
        <v>320</v>
      </c>
      <c r="I6" s="16">
        <v>199.1</v>
      </c>
      <c r="J6" s="14">
        <v>45</v>
      </c>
      <c r="K6" s="14">
        <v>116.09</v>
      </c>
      <c r="L6" s="14">
        <v>298.32</v>
      </c>
      <c r="M6" s="18">
        <v>156.41</v>
      </c>
      <c r="N6" s="14">
        <v>128.77000000000001</v>
      </c>
      <c r="O6" s="14">
        <f t="shared" si="0"/>
        <v>182.23</v>
      </c>
      <c r="P6" s="14">
        <f t="shared" si="1"/>
        <v>40.319999999999993</v>
      </c>
      <c r="Q6" s="14">
        <f t="shared" si="2"/>
        <v>12.680000000000007</v>
      </c>
      <c r="R6" s="9">
        <f t="shared" si="3"/>
        <v>77.874115129232294</v>
      </c>
      <c r="S6" s="9">
        <f t="shared" si="4"/>
        <v>31.448412698412721</v>
      </c>
      <c r="T6" s="9">
        <f t="shared" si="5"/>
        <v>68.551587301587276</v>
      </c>
      <c r="W6">
        <v>13</v>
      </c>
      <c r="X6">
        <f>AVERAGE(R$13:R$21)</f>
        <v>78.04932091362312</v>
      </c>
      <c r="Y6">
        <f>STDEVA(R$13:R$21)</f>
        <v>1.4120783575912317</v>
      </c>
      <c r="Z6">
        <f t="shared" ref="Z6:Z7" si="6">Y6/SQRT(9)</f>
        <v>0.47069278586374391</v>
      </c>
      <c r="AA6">
        <f>AVERAGE(R$55:R$59,R$62:R$66,R$69:R$73)</f>
        <v>79.158565025693363</v>
      </c>
      <c r="AB6">
        <f>STDEVA(R$55:R$59,R$62:R$66,R$69:R$73)</f>
        <v>2.1730648735507545</v>
      </c>
      <c r="AC6">
        <f t="shared" ref="AC6:AC7" si="7">AB6/SQRT(15)</f>
        <v>0.56108293769935991</v>
      </c>
    </row>
    <row r="7" spans="1:29" x14ac:dyDescent="0.25">
      <c r="A7" s="4">
        <v>4</v>
      </c>
      <c r="B7" s="4" t="s">
        <v>16</v>
      </c>
      <c r="C7" s="4" t="s">
        <v>9</v>
      </c>
      <c r="D7" s="4" t="s">
        <v>10</v>
      </c>
      <c r="E7" s="4">
        <v>4</v>
      </c>
      <c r="F7" s="4">
        <v>1</v>
      </c>
      <c r="G7" s="5">
        <v>7.5</v>
      </c>
      <c r="H7" s="16" t="s">
        <v>321</v>
      </c>
      <c r="I7" s="16">
        <v>211.9</v>
      </c>
      <c r="J7" s="14">
        <v>28</v>
      </c>
      <c r="K7" s="14">
        <v>110.95</v>
      </c>
      <c r="L7" s="14">
        <v>217.61</v>
      </c>
      <c r="M7" s="18">
        <v>136.94999999999999</v>
      </c>
      <c r="N7" s="14">
        <v>115.57</v>
      </c>
      <c r="O7" s="14">
        <f t="shared" si="0"/>
        <v>106.66000000000001</v>
      </c>
      <c r="P7" s="14">
        <f t="shared" si="1"/>
        <v>25.999999999999986</v>
      </c>
      <c r="Q7" s="14">
        <f t="shared" si="2"/>
        <v>4.6199999999999903</v>
      </c>
      <c r="R7" s="9">
        <f t="shared" si="3"/>
        <v>75.623476467279218</v>
      </c>
      <c r="S7" s="9">
        <f t="shared" si="4"/>
        <v>17.769230769230742</v>
      </c>
      <c r="T7" s="9">
        <f t="shared" si="5"/>
        <v>82.230769230769255</v>
      </c>
      <c r="W7">
        <v>54</v>
      </c>
      <c r="X7">
        <f>AVERAGE(R$22:R$30)</f>
        <v>75.811586328594146</v>
      </c>
      <c r="Y7">
        <f>STDEVA(R$22:R$30)</f>
        <v>3.0643434115995629</v>
      </c>
      <c r="Z7">
        <f t="shared" si="6"/>
        <v>1.0214478038665209</v>
      </c>
      <c r="AA7">
        <f>AVERAGE(R$77:R$81,R$85:R$89,R$93:R$97)</f>
        <v>76.682388698635407</v>
      </c>
      <c r="AB7">
        <f>STDEVA(R$77:R$81,R$85:R$89,R$93:R$97)</f>
        <v>3.3049439133663623</v>
      </c>
      <c r="AC7">
        <f t="shared" si="7"/>
        <v>0.85333284910783258</v>
      </c>
    </row>
    <row r="8" spans="1:29" x14ac:dyDescent="0.25">
      <c r="A8" s="4">
        <v>5</v>
      </c>
      <c r="B8" s="4" t="s">
        <v>18</v>
      </c>
      <c r="C8" s="4" t="s">
        <v>9</v>
      </c>
      <c r="D8" s="4" t="s">
        <v>10</v>
      </c>
      <c r="E8" s="4">
        <v>4</v>
      </c>
      <c r="F8" s="4">
        <v>2</v>
      </c>
      <c r="G8" s="5">
        <v>7.3</v>
      </c>
      <c r="H8" s="16" t="s">
        <v>322</v>
      </c>
      <c r="I8" s="16">
        <v>202.5</v>
      </c>
      <c r="J8" s="14">
        <v>16</v>
      </c>
      <c r="K8" s="14">
        <v>118.93</v>
      </c>
      <c r="L8" s="14">
        <v>272.29000000000002</v>
      </c>
      <c r="M8" s="18">
        <v>153.16999999999999</v>
      </c>
      <c r="N8" s="14">
        <v>128.97</v>
      </c>
      <c r="O8" s="14">
        <f t="shared" si="0"/>
        <v>153.36000000000001</v>
      </c>
      <c r="P8" s="14">
        <f t="shared" si="1"/>
        <v>34.239999999999981</v>
      </c>
      <c r="Q8" s="14">
        <f t="shared" si="2"/>
        <v>10.039999999999992</v>
      </c>
      <c r="R8" s="9">
        <f t="shared" si="3"/>
        <v>77.673448095983318</v>
      </c>
      <c r="S8" s="9">
        <f t="shared" si="4"/>
        <v>29.322429906542048</v>
      </c>
      <c r="T8" s="9">
        <f t="shared" si="5"/>
        <v>70.677570093457959</v>
      </c>
    </row>
    <row r="9" spans="1:29" x14ac:dyDescent="0.25">
      <c r="A9" s="4">
        <v>6</v>
      </c>
      <c r="B9" s="4" t="s">
        <v>20</v>
      </c>
      <c r="C9" s="4" t="s">
        <v>9</v>
      </c>
      <c r="D9" s="4" t="s">
        <v>10</v>
      </c>
      <c r="E9" s="4">
        <v>4</v>
      </c>
      <c r="F9" s="4">
        <v>3</v>
      </c>
      <c r="G9" s="5">
        <v>5.35</v>
      </c>
      <c r="H9" s="16" t="s">
        <v>323</v>
      </c>
      <c r="I9" s="16">
        <v>204.6</v>
      </c>
      <c r="J9" s="14">
        <v>43</v>
      </c>
      <c r="K9" s="14">
        <v>123.13</v>
      </c>
      <c r="L9" s="14">
        <v>301.04000000000002</v>
      </c>
      <c r="M9" s="18">
        <v>176.66</v>
      </c>
      <c r="N9" s="14">
        <v>141.87</v>
      </c>
      <c r="O9" s="14">
        <f t="shared" si="0"/>
        <v>177.91000000000003</v>
      </c>
      <c r="P9" s="14">
        <f t="shared" si="1"/>
        <v>53.53</v>
      </c>
      <c r="Q9" s="14">
        <f t="shared" si="2"/>
        <v>18.740000000000009</v>
      </c>
      <c r="R9" s="9">
        <f t="shared" si="3"/>
        <v>69.911753133606879</v>
      </c>
      <c r="S9" s="9">
        <f t="shared" si="4"/>
        <v>35.00840650102748</v>
      </c>
      <c r="T9" s="9">
        <f t="shared" si="5"/>
        <v>64.99159349897252</v>
      </c>
      <c r="W9" s="11" t="s">
        <v>429</v>
      </c>
    </row>
    <row r="10" spans="1:29" x14ac:dyDescent="0.25">
      <c r="A10" s="4">
        <v>7</v>
      </c>
      <c r="B10" s="4" t="s">
        <v>22</v>
      </c>
      <c r="C10" s="4" t="s">
        <v>9</v>
      </c>
      <c r="D10" s="4" t="s">
        <v>10</v>
      </c>
      <c r="E10" s="4">
        <v>7</v>
      </c>
      <c r="F10" s="4">
        <v>1</v>
      </c>
      <c r="G10" s="5">
        <v>6.3</v>
      </c>
      <c r="H10" s="16" t="s">
        <v>324</v>
      </c>
      <c r="I10" s="16">
        <v>207.9</v>
      </c>
      <c r="J10" s="14">
        <v>19</v>
      </c>
      <c r="K10" s="14">
        <v>112.05</v>
      </c>
      <c r="L10" s="14">
        <v>275.41000000000003</v>
      </c>
      <c r="M10" s="18">
        <v>155.94999999999999</v>
      </c>
      <c r="N10" s="14">
        <v>128.35</v>
      </c>
      <c r="O10" s="14">
        <f t="shared" si="0"/>
        <v>163.36000000000001</v>
      </c>
      <c r="P10" s="14">
        <f t="shared" si="1"/>
        <v>43.899999999999991</v>
      </c>
      <c r="Q10" s="14">
        <f t="shared" si="2"/>
        <v>16.299999999999997</v>
      </c>
      <c r="R10" s="9">
        <f t="shared" si="3"/>
        <v>73.126836434867784</v>
      </c>
      <c r="S10" s="9">
        <f t="shared" si="4"/>
        <v>37.129840546697039</v>
      </c>
      <c r="T10" s="9">
        <f t="shared" si="5"/>
        <v>62.870159453302961</v>
      </c>
      <c r="W10" s="11"/>
      <c r="X10" s="11" t="s">
        <v>9</v>
      </c>
      <c r="Y10" s="11"/>
      <c r="Z10" s="11"/>
      <c r="AA10" s="11" t="s">
        <v>65</v>
      </c>
      <c r="AB10" s="11"/>
      <c r="AC10" s="11"/>
    </row>
    <row r="11" spans="1:29" x14ac:dyDescent="0.25">
      <c r="A11" s="4">
        <v>8</v>
      </c>
      <c r="B11" s="4" t="s">
        <v>24</v>
      </c>
      <c r="C11" s="4" t="s">
        <v>9</v>
      </c>
      <c r="D11" s="4" t="s">
        <v>10</v>
      </c>
      <c r="E11" s="4">
        <v>7</v>
      </c>
      <c r="F11" s="4">
        <v>2</v>
      </c>
      <c r="G11" s="5">
        <v>5.75</v>
      </c>
      <c r="H11" s="16" t="s">
        <v>325</v>
      </c>
      <c r="I11" s="16">
        <v>213.2</v>
      </c>
      <c r="J11" s="14">
        <v>44</v>
      </c>
      <c r="K11" s="14">
        <v>113.49</v>
      </c>
      <c r="L11" s="14">
        <v>287.13</v>
      </c>
      <c r="M11" s="18">
        <v>151.97999999999999</v>
      </c>
      <c r="N11" s="14">
        <v>119.57</v>
      </c>
      <c r="O11" s="14">
        <f t="shared" si="0"/>
        <v>173.64</v>
      </c>
      <c r="P11" s="14">
        <f t="shared" si="1"/>
        <v>38.489999999999995</v>
      </c>
      <c r="Q11" s="14">
        <f t="shared" si="2"/>
        <v>6.0799999999999983</v>
      </c>
      <c r="R11" s="9">
        <f t="shared" si="3"/>
        <v>77.833448514167245</v>
      </c>
      <c r="S11" s="9">
        <f t="shared" si="4"/>
        <v>15.796310730059751</v>
      </c>
      <c r="T11" s="9">
        <f t="shared" si="5"/>
        <v>84.203689269940242</v>
      </c>
      <c r="W11" s="11" t="s">
        <v>4</v>
      </c>
      <c r="X11" s="11" t="s">
        <v>208</v>
      </c>
      <c r="Y11" s="11" t="s">
        <v>209</v>
      </c>
      <c r="Z11" s="11" t="s">
        <v>210</v>
      </c>
      <c r="AA11" s="11" t="s">
        <v>208</v>
      </c>
      <c r="AB11" s="11" t="s">
        <v>209</v>
      </c>
      <c r="AC11" s="11" t="s">
        <v>210</v>
      </c>
    </row>
    <row r="12" spans="1:29" x14ac:dyDescent="0.25">
      <c r="A12" s="4">
        <v>9</v>
      </c>
      <c r="B12" s="4" t="s">
        <v>26</v>
      </c>
      <c r="C12" s="4" t="s">
        <v>9</v>
      </c>
      <c r="D12" s="4" t="s">
        <v>10</v>
      </c>
      <c r="E12" s="4">
        <v>7</v>
      </c>
      <c r="F12" s="4">
        <v>3</v>
      </c>
      <c r="G12" s="5">
        <v>5.65</v>
      </c>
      <c r="H12" s="16" t="s">
        <v>326</v>
      </c>
      <c r="I12" s="16">
        <v>207.6</v>
      </c>
      <c r="J12" s="14">
        <v>9</v>
      </c>
      <c r="K12" s="14">
        <v>122.38</v>
      </c>
      <c r="L12" s="14">
        <v>255.83</v>
      </c>
      <c r="M12" s="18">
        <v>157.43</v>
      </c>
      <c r="N12" s="14">
        <v>133.77000000000001</v>
      </c>
      <c r="O12" s="14">
        <f t="shared" si="0"/>
        <v>133.45000000000002</v>
      </c>
      <c r="P12" s="14">
        <f t="shared" si="1"/>
        <v>35.050000000000011</v>
      </c>
      <c r="Q12" s="14">
        <f t="shared" si="2"/>
        <v>11.390000000000015</v>
      </c>
      <c r="R12" s="9">
        <f t="shared" si="3"/>
        <v>73.735481453727985</v>
      </c>
      <c r="S12" s="9">
        <f t="shared" si="4"/>
        <v>32.496433666191187</v>
      </c>
      <c r="T12" s="9">
        <f t="shared" si="5"/>
        <v>67.503566333808806</v>
      </c>
      <c r="W12" t="s">
        <v>10</v>
      </c>
      <c r="X12">
        <f>AVERAGE(S$4:S$12)</f>
        <v>27.32003894979534</v>
      </c>
      <c r="Y12">
        <f>STDEVA(S$4:S$12)</f>
        <v>7.648679368313279</v>
      </c>
      <c r="Z12">
        <f>Y12/SQRT(9)</f>
        <v>2.5495597894377595</v>
      </c>
      <c r="AA12">
        <f>AVERAGE(S$31:S$35,S$39:S$43,S$47:S$51)</f>
        <v>23.898116469613445</v>
      </c>
      <c r="AB12">
        <f>STDEVA(S$31:S$35,S$39:S$43,S$47:S$51)</f>
        <v>10.918708880568666</v>
      </c>
      <c r="AC12">
        <f>AB12/SQRT(15)</f>
        <v>2.8191985104352977</v>
      </c>
    </row>
    <row r="13" spans="1:29" x14ac:dyDescent="0.25">
      <c r="A13" s="4">
        <v>10</v>
      </c>
      <c r="B13" s="4" t="s">
        <v>28</v>
      </c>
      <c r="C13" s="4" t="s">
        <v>9</v>
      </c>
      <c r="D13" s="4">
        <v>13</v>
      </c>
      <c r="E13" s="4">
        <v>3</v>
      </c>
      <c r="F13" s="4">
        <v>1</v>
      </c>
      <c r="G13" s="5">
        <v>6.4</v>
      </c>
      <c r="H13" s="16" t="s">
        <v>327</v>
      </c>
      <c r="I13" s="16">
        <v>203.6</v>
      </c>
      <c r="J13" s="14">
        <v>1</v>
      </c>
      <c r="K13" s="14">
        <v>84.1</v>
      </c>
      <c r="L13" s="14">
        <v>160.16</v>
      </c>
      <c r="M13" s="18">
        <v>102.07</v>
      </c>
      <c r="N13" s="14">
        <v>86.64</v>
      </c>
      <c r="O13" s="14">
        <f t="shared" si="0"/>
        <v>76.06</v>
      </c>
      <c r="P13" s="14">
        <f t="shared" si="1"/>
        <v>17.97</v>
      </c>
      <c r="Q13" s="14">
        <f t="shared" si="2"/>
        <v>2.5400000000000063</v>
      </c>
      <c r="R13" s="9">
        <f t="shared" si="3"/>
        <v>76.373915330002632</v>
      </c>
      <c r="S13" s="9">
        <f t="shared" si="4"/>
        <v>14.134668892598812</v>
      </c>
      <c r="T13" s="9">
        <f t="shared" si="5"/>
        <v>85.86533110740119</v>
      </c>
      <c r="W13">
        <v>13</v>
      </c>
      <c r="X13">
        <f>AVERAGE(S$13:S$21)</f>
        <v>20.581709985551662</v>
      </c>
      <c r="Y13">
        <f>STDEVA(S$13:S$21)</f>
        <v>5.1066444473085211</v>
      </c>
      <c r="Z13">
        <f t="shared" ref="Z13:Z14" si="8">Y13/SQRT(9)</f>
        <v>1.702214815769507</v>
      </c>
      <c r="AA13">
        <f>AVERAGE(S$55:S$59,S$62:S$66,S$69:S$73)</f>
        <v>20.85076615751797</v>
      </c>
      <c r="AB13">
        <f>STDEVA(S$55:S$59,S$62:S$66,S$69:S$73)</f>
        <v>7.4868075393905871</v>
      </c>
      <c r="AC13">
        <f t="shared" ref="AC13:AC14" si="9">AB13/SQRT(15)</f>
        <v>1.9330853944213249</v>
      </c>
    </row>
    <row r="14" spans="1:29" x14ac:dyDescent="0.25">
      <c r="A14" s="4">
        <v>11</v>
      </c>
      <c r="B14" s="4" t="s">
        <v>30</v>
      </c>
      <c r="C14" s="4" t="s">
        <v>9</v>
      </c>
      <c r="D14" s="4">
        <v>13</v>
      </c>
      <c r="E14" s="4">
        <v>3</v>
      </c>
      <c r="F14" s="4">
        <v>2</v>
      </c>
      <c r="G14" s="5">
        <v>5.6</v>
      </c>
      <c r="H14" s="16" t="s">
        <v>328</v>
      </c>
      <c r="I14" s="16">
        <v>225.5</v>
      </c>
      <c r="J14" s="14">
        <v>47</v>
      </c>
      <c r="K14" s="14">
        <v>113.84</v>
      </c>
      <c r="L14" s="14">
        <v>310.97000000000003</v>
      </c>
      <c r="M14" s="18">
        <v>155.11000000000001</v>
      </c>
      <c r="N14" s="14">
        <v>122.66</v>
      </c>
      <c r="O14" s="14">
        <f t="shared" si="0"/>
        <v>197.13000000000002</v>
      </c>
      <c r="P14" s="14">
        <f t="shared" si="1"/>
        <v>41.27000000000001</v>
      </c>
      <c r="Q14" s="14">
        <f t="shared" si="2"/>
        <v>8.8199999999999932</v>
      </c>
      <c r="R14" s="9">
        <f t="shared" si="3"/>
        <v>79.064576675290411</v>
      </c>
      <c r="S14" s="9">
        <f t="shared" si="4"/>
        <v>21.371456263629735</v>
      </c>
      <c r="T14" s="9">
        <f t="shared" si="5"/>
        <v>78.628543736370275</v>
      </c>
      <c r="W14">
        <v>54</v>
      </c>
      <c r="X14">
        <f>AVERAGE(S$22:S$30)</f>
        <v>27.907457350022746</v>
      </c>
      <c r="Y14">
        <f>STDEVA(S$22:S$30)</f>
        <v>10.854454536149355</v>
      </c>
      <c r="Z14">
        <f t="shared" si="8"/>
        <v>3.6181515120497849</v>
      </c>
      <c r="AA14">
        <f>AVERAGE(S$77:S$81,S$85:S$89,S$93:S$97)</f>
        <v>22.423824573059793</v>
      </c>
      <c r="AB14">
        <f>STDEVA(S$77:S$81,S$85:S$89,S$93:S$97)</f>
        <v>9.6776357191435878</v>
      </c>
      <c r="AC14">
        <f t="shared" si="9"/>
        <v>2.4987547980603435</v>
      </c>
    </row>
    <row r="15" spans="1:29" x14ac:dyDescent="0.25">
      <c r="A15" s="4">
        <v>12</v>
      </c>
      <c r="B15" s="4" t="s">
        <v>32</v>
      </c>
      <c r="C15" s="4" t="s">
        <v>9</v>
      </c>
      <c r="D15" s="4">
        <v>13</v>
      </c>
      <c r="E15" s="4">
        <v>3</v>
      </c>
      <c r="F15" s="4">
        <v>3</v>
      </c>
      <c r="G15" s="5">
        <v>5.4</v>
      </c>
      <c r="H15" s="16" t="s">
        <v>329</v>
      </c>
      <c r="I15" s="16">
        <v>209.3</v>
      </c>
      <c r="J15" s="14">
        <v>41</v>
      </c>
      <c r="K15" s="14">
        <v>116.77</v>
      </c>
      <c r="L15" s="14">
        <v>297.38</v>
      </c>
      <c r="M15" s="18">
        <v>155.08000000000001</v>
      </c>
      <c r="N15" s="14">
        <v>123.58</v>
      </c>
      <c r="O15" s="14">
        <f t="shared" si="0"/>
        <v>180.61</v>
      </c>
      <c r="P15" s="14">
        <f t="shared" si="1"/>
        <v>38.310000000000016</v>
      </c>
      <c r="Q15" s="14">
        <f t="shared" si="2"/>
        <v>6.8100000000000023</v>
      </c>
      <c r="R15" s="9">
        <f t="shared" si="3"/>
        <v>78.788549914179725</v>
      </c>
      <c r="S15" s="9">
        <f t="shared" si="4"/>
        <v>17.7760375880971</v>
      </c>
      <c r="T15" s="9">
        <f t="shared" si="5"/>
        <v>82.223962411902903</v>
      </c>
    </row>
    <row r="16" spans="1:29" x14ac:dyDescent="0.25">
      <c r="A16" s="4">
        <v>13</v>
      </c>
      <c r="B16" s="4" t="s">
        <v>34</v>
      </c>
      <c r="C16" s="4" t="s">
        <v>9</v>
      </c>
      <c r="D16" s="4">
        <v>13</v>
      </c>
      <c r="E16" s="4">
        <v>5</v>
      </c>
      <c r="F16" s="4">
        <v>1</v>
      </c>
      <c r="G16" s="5">
        <v>7.75</v>
      </c>
      <c r="H16" s="16" t="s">
        <v>330</v>
      </c>
      <c r="I16" s="16">
        <v>203.6</v>
      </c>
      <c r="J16" s="14">
        <v>5</v>
      </c>
      <c r="K16" s="14">
        <v>98.19</v>
      </c>
      <c r="L16" s="14">
        <v>257.07</v>
      </c>
      <c r="M16" s="18">
        <v>133.06</v>
      </c>
      <c r="N16" s="14">
        <v>105.27</v>
      </c>
      <c r="O16" s="14">
        <f t="shared" si="0"/>
        <v>158.88</v>
      </c>
      <c r="P16" s="14">
        <f t="shared" si="1"/>
        <v>34.870000000000005</v>
      </c>
      <c r="Q16" s="14">
        <f t="shared" si="2"/>
        <v>7.0799999999999983</v>
      </c>
      <c r="R16" s="9">
        <f t="shared" si="3"/>
        <v>78.052618328298095</v>
      </c>
      <c r="S16" s="9">
        <f t="shared" si="4"/>
        <v>20.303986234585594</v>
      </c>
      <c r="T16" s="9">
        <f t="shared" si="5"/>
        <v>79.696013765414392</v>
      </c>
      <c r="W16" s="11" t="s">
        <v>427</v>
      </c>
    </row>
    <row r="17" spans="1:29" x14ac:dyDescent="0.25">
      <c r="A17" s="4">
        <v>14</v>
      </c>
      <c r="B17" s="4" t="s">
        <v>36</v>
      </c>
      <c r="C17" s="4" t="s">
        <v>9</v>
      </c>
      <c r="D17" s="4">
        <v>13</v>
      </c>
      <c r="E17" s="4">
        <v>5</v>
      </c>
      <c r="F17" s="4">
        <v>2</v>
      </c>
      <c r="G17" s="5">
        <v>5.35</v>
      </c>
      <c r="H17" s="16" t="s">
        <v>331</v>
      </c>
      <c r="I17" s="16">
        <v>200.9</v>
      </c>
      <c r="J17" s="14">
        <v>15</v>
      </c>
      <c r="K17" s="14">
        <v>104.14</v>
      </c>
      <c r="L17" s="14">
        <v>303.49</v>
      </c>
      <c r="M17" s="18">
        <v>150.36000000000001</v>
      </c>
      <c r="N17" s="14">
        <v>114.51</v>
      </c>
      <c r="O17" s="14">
        <f t="shared" si="0"/>
        <v>199.35000000000002</v>
      </c>
      <c r="P17" s="14">
        <f t="shared" si="1"/>
        <v>46.220000000000013</v>
      </c>
      <c r="Q17" s="14">
        <f t="shared" si="2"/>
        <v>10.370000000000005</v>
      </c>
      <c r="R17" s="9">
        <f t="shared" si="3"/>
        <v>76.814647604715319</v>
      </c>
      <c r="S17" s="9">
        <f t="shared" si="4"/>
        <v>22.43617481609693</v>
      </c>
      <c r="T17" s="9">
        <f t="shared" si="5"/>
        <v>77.563825183903063</v>
      </c>
      <c r="W17" s="11"/>
      <c r="X17" s="11" t="s">
        <v>9</v>
      </c>
      <c r="Y17" s="11"/>
      <c r="Z17" s="11"/>
      <c r="AA17" s="11" t="s">
        <v>65</v>
      </c>
      <c r="AB17" s="11"/>
      <c r="AC17" s="11"/>
    </row>
    <row r="18" spans="1:29" x14ac:dyDescent="0.25">
      <c r="A18" s="4">
        <v>15</v>
      </c>
      <c r="B18" s="4" t="s">
        <v>38</v>
      </c>
      <c r="C18" s="4" t="s">
        <v>9</v>
      </c>
      <c r="D18" s="4">
        <v>13</v>
      </c>
      <c r="E18" s="4">
        <v>5</v>
      </c>
      <c r="F18" s="4">
        <v>3</v>
      </c>
      <c r="G18" s="5">
        <v>5.2</v>
      </c>
      <c r="H18" s="16" t="s">
        <v>332</v>
      </c>
      <c r="I18" s="16">
        <v>205</v>
      </c>
      <c r="J18" s="14">
        <v>33</v>
      </c>
      <c r="K18" s="14">
        <v>113.8</v>
      </c>
      <c r="L18" s="14">
        <v>286.51</v>
      </c>
      <c r="M18" s="18">
        <v>148.34</v>
      </c>
      <c r="N18" s="14">
        <v>118.63</v>
      </c>
      <c r="O18" s="14">
        <f t="shared" si="0"/>
        <v>172.70999999999998</v>
      </c>
      <c r="P18" s="14">
        <f t="shared" si="1"/>
        <v>34.540000000000006</v>
      </c>
      <c r="Q18" s="14">
        <f t="shared" si="2"/>
        <v>4.8299999999999983</v>
      </c>
      <c r="R18" s="9">
        <f t="shared" si="3"/>
        <v>80.001158010537878</v>
      </c>
      <c r="S18" s="9">
        <f t="shared" si="4"/>
        <v>13.983786913723211</v>
      </c>
      <c r="T18" s="9">
        <f t="shared" si="5"/>
        <v>86.016213086276792</v>
      </c>
      <c r="W18" s="11" t="s">
        <v>4</v>
      </c>
      <c r="X18" s="11" t="s">
        <v>208</v>
      </c>
      <c r="Y18" s="11" t="s">
        <v>209</v>
      </c>
      <c r="Z18" s="11" t="s">
        <v>210</v>
      </c>
      <c r="AA18" s="11" t="s">
        <v>208</v>
      </c>
      <c r="AB18" s="11" t="s">
        <v>209</v>
      </c>
      <c r="AC18" s="11" t="s">
        <v>210</v>
      </c>
    </row>
    <row r="19" spans="1:29" x14ac:dyDescent="0.25">
      <c r="A19" s="4">
        <v>16</v>
      </c>
      <c r="B19" s="4" t="s">
        <v>40</v>
      </c>
      <c r="C19" s="4" t="s">
        <v>9</v>
      </c>
      <c r="D19" s="4">
        <v>13</v>
      </c>
      <c r="E19" s="4">
        <v>2</v>
      </c>
      <c r="F19" s="4">
        <v>1</v>
      </c>
      <c r="G19" s="5">
        <v>6.5</v>
      </c>
      <c r="H19" s="16" t="s">
        <v>333</v>
      </c>
      <c r="I19" s="16">
        <v>227.3</v>
      </c>
      <c r="J19" s="14">
        <v>6</v>
      </c>
      <c r="K19" s="14">
        <v>101.13</v>
      </c>
      <c r="L19" s="14">
        <v>254.76</v>
      </c>
      <c r="M19" s="18">
        <v>137.22999999999999</v>
      </c>
      <c r="N19" s="14">
        <v>110.35</v>
      </c>
      <c r="O19" s="14">
        <f t="shared" si="0"/>
        <v>153.63</v>
      </c>
      <c r="P19" s="14">
        <f t="shared" si="1"/>
        <v>36.099999999999994</v>
      </c>
      <c r="Q19" s="14">
        <f t="shared" si="2"/>
        <v>9.2199999999999989</v>
      </c>
      <c r="R19" s="9">
        <f t="shared" si="3"/>
        <v>76.501985289331515</v>
      </c>
      <c r="S19" s="9">
        <f t="shared" si="4"/>
        <v>25.54016620498615</v>
      </c>
      <c r="T19" s="9">
        <f t="shared" si="5"/>
        <v>74.45983379501385</v>
      </c>
      <c r="W19" t="s">
        <v>10</v>
      </c>
      <c r="X19">
        <f>AVERAGE(T$4:T$12)</f>
        <v>72.679961050204668</v>
      </c>
      <c r="Y19">
        <f>STDEVA(T$4:T$12)</f>
        <v>7.6486793683132932</v>
      </c>
      <c r="Z19">
        <f>Y19/SQRT(9)</f>
        <v>2.5495597894377644</v>
      </c>
      <c r="AA19">
        <f>AVERAGE(T$31:T$35,T$39:T$43,T$47:T$51)</f>
        <v>76.101883530386559</v>
      </c>
      <c r="AB19">
        <f>STDEVA(T$31:T$35,T$39:T$43,T$47:T$51)</f>
        <v>10.918708880568666</v>
      </c>
      <c r="AC19">
        <f>AB19/SQRT(15)</f>
        <v>2.8191985104352977</v>
      </c>
    </row>
    <row r="20" spans="1:29" x14ac:dyDescent="0.25">
      <c r="A20" s="4">
        <v>17</v>
      </c>
      <c r="B20" s="4" t="s">
        <v>42</v>
      </c>
      <c r="C20" s="4" t="s">
        <v>9</v>
      </c>
      <c r="D20" s="4">
        <v>13</v>
      </c>
      <c r="E20" s="4">
        <v>2</v>
      </c>
      <c r="F20" s="4">
        <v>2</v>
      </c>
      <c r="G20" s="5">
        <v>6.35</v>
      </c>
      <c r="H20" s="16" t="s">
        <v>334</v>
      </c>
      <c r="I20" s="16">
        <v>206.8</v>
      </c>
      <c r="J20" s="14">
        <v>57</v>
      </c>
      <c r="K20" s="14">
        <v>120.37</v>
      </c>
      <c r="L20" s="14">
        <v>300.11</v>
      </c>
      <c r="M20" s="18">
        <v>161.55000000000001</v>
      </c>
      <c r="N20" s="14">
        <v>128.53</v>
      </c>
      <c r="O20" s="14">
        <f t="shared" si="0"/>
        <v>179.74</v>
      </c>
      <c r="P20" s="14">
        <f t="shared" si="1"/>
        <v>41.180000000000007</v>
      </c>
      <c r="Q20" s="14">
        <f t="shared" si="2"/>
        <v>8.1599999999999966</v>
      </c>
      <c r="R20" s="9">
        <f t="shared" si="3"/>
        <v>77.089128741515523</v>
      </c>
      <c r="S20" s="9">
        <f t="shared" si="4"/>
        <v>19.815444390480803</v>
      </c>
      <c r="T20" s="9">
        <f t="shared" si="5"/>
        <v>80.184555609519194</v>
      </c>
      <c r="W20">
        <v>13</v>
      </c>
      <c r="X20">
        <f>AVERAGE(T$12:T$20)</f>
        <v>79.126871669956728</v>
      </c>
      <c r="Y20">
        <f>STDEVA(T$13:T$21)</f>
        <v>5.1066444473085078</v>
      </c>
      <c r="Z20">
        <f t="shared" ref="Z20:Z21" si="10">Y20/SQRT(9)</f>
        <v>1.7022148157695025</v>
      </c>
      <c r="AA20">
        <f>AVERAGE(T$55:T$59,T$62:T$66,T$69:T$73)</f>
        <v>79.149233842482019</v>
      </c>
      <c r="AB20">
        <f>STDEVA(T$55:T$59,T$62:T$66,T$69:T$73)</f>
        <v>7.4868075393905791</v>
      </c>
      <c r="AC20">
        <f>AB20/SQRT(15)</f>
        <v>1.9330853944213227</v>
      </c>
    </row>
    <row r="21" spans="1:29" x14ac:dyDescent="0.25">
      <c r="A21" s="4">
        <v>18</v>
      </c>
      <c r="B21" s="4" t="s">
        <v>44</v>
      </c>
      <c r="C21" s="4" t="s">
        <v>9</v>
      </c>
      <c r="D21" s="4">
        <v>13</v>
      </c>
      <c r="E21" s="4">
        <v>2</v>
      </c>
      <c r="F21" s="4">
        <v>3</v>
      </c>
      <c r="G21" s="5">
        <v>4.05</v>
      </c>
      <c r="H21" s="16" t="s">
        <v>335</v>
      </c>
      <c r="I21" s="16">
        <v>217.7</v>
      </c>
      <c r="J21" s="14">
        <v>55</v>
      </c>
      <c r="K21" s="14">
        <v>104.72</v>
      </c>
      <c r="L21" s="14">
        <v>304.14999999999998</v>
      </c>
      <c r="M21" s="18">
        <v>145.09</v>
      </c>
      <c r="N21" s="14">
        <v>116.78</v>
      </c>
      <c r="O21" s="14">
        <f t="shared" si="0"/>
        <v>199.42999999999998</v>
      </c>
      <c r="P21" s="14">
        <f t="shared" si="1"/>
        <v>40.370000000000005</v>
      </c>
      <c r="Q21" s="14">
        <f t="shared" si="2"/>
        <v>12.060000000000002</v>
      </c>
      <c r="R21" s="9">
        <f t="shared" si="3"/>
        <v>79.757308328736897</v>
      </c>
      <c r="S21" s="9">
        <f t="shared" si="4"/>
        <v>29.873668565766661</v>
      </c>
      <c r="T21" s="9">
        <f t="shared" si="5"/>
        <v>70.126331434233336</v>
      </c>
      <c r="W21">
        <v>54</v>
      </c>
      <c r="X21">
        <f>AVERAGE(T$22:T$30)</f>
        <v>72.092542649977247</v>
      </c>
      <c r="Y21">
        <f>STDEVA(T$22:T$30)</f>
        <v>10.854454536149413</v>
      </c>
      <c r="Z21">
        <f t="shared" si="10"/>
        <v>3.6181515120498045</v>
      </c>
      <c r="AA21">
        <f>AVERAGE(T$77:T$81,T$85:T$89,T$93:T$97)</f>
        <v>77.576175426940182</v>
      </c>
      <c r="AB21">
        <f>STDEVA(T$77:T$81,T$85:T$89,T$93:T$97)</f>
        <v>9.6776357191436748</v>
      </c>
      <c r="AC21">
        <f t="shared" ref="AC21" si="11">AB21/SQRT(15)</f>
        <v>2.4987547980603662</v>
      </c>
    </row>
    <row r="22" spans="1:29" x14ac:dyDescent="0.25">
      <c r="A22" s="4">
        <v>19</v>
      </c>
      <c r="B22" s="4" t="s">
        <v>46</v>
      </c>
      <c r="C22" s="4" t="s">
        <v>9</v>
      </c>
      <c r="D22" s="4">
        <v>54</v>
      </c>
      <c r="E22" s="4">
        <v>9</v>
      </c>
      <c r="F22" s="4">
        <v>1</v>
      </c>
      <c r="G22" s="5">
        <v>5.65</v>
      </c>
      <c r="H22" s="16" t="s">
        <v>336</v>
      </c>
      <c r="I22" s="16">
        <v>203.5</v>
      </c>
      <c r="J22" s="14">
        <v>39</v>
      </c>
      <c r="K22" s="14">
        <v>107.94</v>
      </c>
      <c r="L22" s="14">
        <v>271.7</v>
      </c>
      <c r="M22" s="18">
        <v>148.19</v>
      </c>
      <c r="N22" s="14">
        <v>118.35</v>
      </c>
      <c r="O22" s="14">
        <f t="shared" si="0"/>
        <v>163.76</v>
      </c>
      <c r="P22" s="14">
        <f t="shared" si="1"/>
        <v>40.25</v>
      </c>
      <c r="Q22" s="14">
        <f t="shared" si="2"/>
        <v>10.409999999999997</v>
      </c>
      <c r="R22" s="9">
        <f t="shared" si="3"/>
        <v>75.421348314606746</v>
      </c>
      <c r="S22" s="9">
        <f t="shared" si="4"/>
        <v>25.863354037267069</v>
      </c>
      <c r="T22" s="9">
        <f t="shared" si="5"/>
        <v>74.136645962732928</v>
      </c>
    </row>
    <row r="23" spans="1:29" x14ac:dyDescent="0.25">
      <c r="A23" s="4">
        <v>20</v>
      </c>
      <c r="B23" s="4" t="s">
        <v>48</v>
      </c>
      <c r="C23" s="4" t="s">
        <v>9</v>
      </c>
      <c r="D23" s="4">
        <v>54</v>
      </c>
      <c r="E23" s="4">
        <v>9</v>
      </c>
      <c r="F23" s="4">
        <v>2</v>
      </c>
      <c r="G23" s="5">
        <v>4.5</v>
      </c>
      <c r="H23" s="16" t="s">
        <v>337</v>
      </c>
      <c r="I23" s="16">
        <v>207.1</v>
      </c>
      <c r="J23" s="14">
        <v>51</v>
      </c>
      <c r="K23" s="14">
        <v>117.48</v>
      </c>
      <c r="L23" s="14">
        <v>312.54000000000002</v>
      </c>
      <c r="M23" s="18">
        <v>165.47</v>
      </c>
      <c r="N23" s="14">
        <v>130.58000000000001</v>
      </c>
      <c r="O23" s="14">
        <f t="shared" si="0"/>
        <v>195.06</v>
      </c>
      <c r="P23" s="14">
        <f t="shared" si="1"/>
        <v>47.989999999999995</v>
      </c>
      <c r="Q23" s="14">
        <f t="shared" si="2"/>
        <v>13.100000000000009</v>
      </c>
      <c r="R23" s="9">
        <f t="shared" si="3"/>
        <v>75.397313647082953</v>
      </c>
      <c r="S23" s="9">
        <f t="shared" si="4"/>
        <v>27.297353615336551</v>
      </c>
      <c r="T23" s="9">
        <f t="shared" si="5"/>
        <v>72.702646384663453</v>
      </c>
    </row>
    <row r="24" spans="1:29" x14ac:dyDescent="0.25">
      <c r="A24" s="4">
        <v>21</v>
      </c>
      <c r="B24" s="4" t="s">
        <v>50</v>
      </c>
      <c r="C24" s="4" t="s">
        <v>9</v>
      </c>
      <c r="D24" s="4">
        <v>54</v>
      </c>
      <c r="E24" s="4">
        <v>9</v>
      </c>
      <c r="F24" s="4">
        <v>3</v>
      </c>
      <c r="G24" s="5">
        <v>6</v>
      </c>
      <c r="H24" s="16" t="s">
        <v>338</v>
      </c>
      <c r="I24" s="16">
        <v>215.2</v>
      </c>
      <c r="J24" s="14">
        <v>22</v>
      </c>
      <c r="K24" s="14">
        <v>117.89</v>
      </c>
      <c r="L24" s="14">
        <v>305.49</v>
      </c>
      <c r="M24" s="18">
        <v>161.78</v>
      </c>
      <c r="N24" s="14">
        <v>132.84</v>
      </c>
      <c r="O24" s="14">
        <f t="shared" si="0"/>
        <v>187.60000000000002</v>
      </c>
      <c r="P24" s="14">
        <f t="shared" si="1"/>
        <v>43.89</v>
      </c>
      <c r="Q24" s="14">
        <f t="shared" si="2"/>
        <v>14.950000000000003</v>
      </c>
      <c r="R24" s="9">
        <f t="shared" si="3"/>
        <v>76.604477611940311</v>
      </c>
      <c r="S24" s="9">
        <f t="shared" si="4"/>
        <v>34.062428799270911</v>
      </c>
      <c r="T24" s="9">
        <f t="shared" si="5"/>
        <v>65.937571200729096</v>
      </c>
    </row>
    <row r="25" spans="1:29" x14ac:dyDescent="0.25">
      <c r="A25" s="4">
        <v>22</v>
      </c>
      <c r="B25" s="4" t="s">
        <v>52</v>
      </c>
      <c r="C25" s="4" t="s">
        <v>9</v>
      </c>
      <c r="D25" s="4">
        <v>54</v>
      </c>
      <c r="E25" s="4">
        <v>6</v>
      </c>
      <c r="F25" s="4">
        <v>1</v>
      </c>
      <c r="G25" s="5">
        <v>6.65</v>
      </c>
      <c r="H25" s="16" t="s">
        <v>339</v>
      </c>
      <c r="I25" s="16">
        <v>221.5</v>
      </c>
      <c r="J25" s="14">
        <v>13</v>
      </c>
      <c r="K25" s="14">
        <v>102.72</v>
      </c>
      <c r="L25" s="14">
        <v>264.10000000000002</v>
      </c>
      <c r="M25" s="18">
        <v>142.34</v>
      </c>
      <c r="N25" s="14">
        <v>115.85</v>
      </c>
      <c r="O25" s="14">
        <f t="shared" si="0"/>
        <v>161.38000000000002</v>
      </c>
      <c r="P25" s="14">
        <f t="shared" si="1"/>
        <v>39.620000000000005</v>
      </c>
      <c r="Q25" s="14">
        <f t="shared" si="2"/>
        <v>13.129999999999995</v>
      </c>
      <c r="R25" s="9">
        <f t="shared" si="3"/>
        <v>75.44925021687942</v>
      </c>
      <c r="S25" s="9">
        <f t="shared" si="4"/>
        <v>33.139828369510333</v>
      </c>
      <c r="T25" s="9">
        <f t="shared" si="5"/>
        <v>66.860171630489674</v>
      </c>
    </row>
    <row r="26" spans="1:29" x14ac:dyDescent="0.25">
      <c r="A26" s="4">
        <v>23</v>
      </c>
      <c r="B26" s="4" t="s">
        <v>54</v>
      </c>
      <c r="C26" s="4" t="s">
        <v>9</v>
      </c>
      <c r="D26" s="4">
        <v>54</v>
      </c>
      <c r="E26" s="4">
        <v>6</v>
      </c>
      <c r="F26" s="4">
        <v>2</v>
      </c>
      <c r="G26" s="5">
        <v>5.55</v>
      </c>
      <c r="H26" s="16" t="s">
        <v>340</v>
      </c>
      <c r="I26" s="16">
        <v>235.2</v>
      </c>
      <c r="J26" s="14">
        <v>7</v>
      </c>
      <c r="K26" s="14">
        <v>97.33</v>
      </c>
      <c r="L26" s="14">
        <v>268.44</v>
      </c>
      <c r="M26" s="18">
        <v>129.46</v>
      </c>
      <c r="N26" s="14">
        <v>102.13</v>
      </c>
      <c r="O26" s="14">
        <f t="shared" si="0"/>
        <v>171.11</v>
      </c>
      <c r="P26" s="14">
        <f t="shared" si="1"/>
        <v>32.13000000000001</v>
      </c>
      <c r="Q26" s="14">
        <f t="shared" si="2"/>
        <v>4.7999999999999972</v>
      </c>
      <c r="R26" s="9">
        <f t="shared" si="3"/>
        <v>81.222605341593137</v>
      </c>
      <c r="S26" s="9">
        <f t="shared" si="4"/>
        <v>14.939309056956102</v>
      </c>
      <c r="T26" s="9">
        <f t="shared" si="5"/>
        <v>85.060690943043895</v>
      </c>
    </row>
    <row r="27" spans="1:29" x14ac:dyDescent="0.25">
      <c r="A27" s="4">
        <v>24</v>
      </c>
      <c r="B27" s="4" t="s">
        <v>56</v>
      </c>
      <c r="C27" s="4" t="s">
        <v>9</v>
      </c>
      <c r="D27" s="4">
        <v>54</v>
      </c>
      <c r="E27" s="4">
        <v>6</v>
      </c>
      <c r="F27" s="4">
        <v>3</v>
      </c>
      <c r="G27" s="5">
        <v>5.4</v>
      </c>
      <c r="H27" s="16" t="s">
        <v>341</v>
      </c>
      <c r="I27" s="16">
        <v>195.2</v>
      </c>
      <c r="J27" s="14">
        <v>42</v>
      </c>
      <c r="K27" s="14">
        <v>121.43</v>
      </c>
      <c r="L27" s="14">
        <v>192.12</v>
      </c>
      <c r="M27" s="18">
        <v>139.43</v>
      </c>
      <c r="N27" s="14">
        <v>125.41</v>
      </c>
      <c r="O27" s="14">
        <f t="shared" si="0"/>
        <v>70.69</v>
      </c>
      <c r="P27" s="14">
        <f t="shared" si="1"/>
        <v>18</v>
      </c>
      <c r="Q27" s="14">
        <f t="shared" si="2"/>
        <v>3.9799999999999898</v>
      </c>
      <c r="R27" s="9">
        <f t="shared" si="3"/>
        <v>74.536709577026457</v>
      </c>
      <c r="S27" s="9">
        <f t="shared" si="4"/>
        <v>22.111111111111054</v>
      </c>
      <c r="T27" s="9">
        <f t="shared" si="5"/>
        <v>77.888888888888943</v>
      </c>
    </row>
    <row r="28" spans="1:29" x14ac:dyDescent="0.25">
      <c r="A28" s="4">
        <v>25</v>
      </c>
      <c r="B28" s="4" t="s">
        <v>58</v>
      </c>
      <c r="C28" s="4" t="s">
        <v>9</v>
      </c>
      <c r="D28" s="4">
        <v>54</v>
      </c>
      <c r="E28" s="4">
        <v>8</v>
      </c>
      <c r="F28" s="4">
        <v>1</v>
      </c>
      <c r="G28" s="5">
        <v>5.85</v>
      </c>
      <c r="H28" s="16" t="s">
        <v>342</v>
      </c>
      <c r="I28" s="16">
        <v>223.6</v>
      </c>
      <c r="J28" s="14">
        <v>25</v>
      </c>
      <c r="K28" s="14">
        <v>107.41</v>
      </c>
      <c r="L28" s="14">
        <v>306.58</v>
      </c>
      <c r="M28" s="18">
        <v>168.07</v>
      </c>
      <c r="N28" s="14">
        <v>138.29</v>
      </c>
      <c r="O28" s="14">
        <f t="shared" si="0"/>
        <v>199.17</v>
      </c>
      <c r="P28" s="14">
        <f t="shared" si="1"/>
        <v>60.66</v>
      </c>
      <c r="Q28" s="14">
        <f>N28-K28</f>
        <v>30.879999999999995</v>
      </c>
      <c r="R28" s="9">
        <f t="shared" si="3"/>
        <v>69.543605964753738</v>
      </c>
      <c r="S28" s="9">
        <f t="shared" si="4"/>
        <v>50.906693043191552</v>
      </c>
      <c r="T28" s="9">
        <f t="shared" si="5"/>
        <v>49.093306956808441</v>
      </c>
    </row>
    <row r="29" spans="1:29" x14ac:dyDescent="0.25">
      <c r="A29" s="4">
        <v>26</v>
      </c>
      <c r="B29" s="4" t="s">
        <v>60</v>
      </c>
      <c r="C29" s="4" t="s">
        <v>9</v>
      </c>
      <c r="D29" s="4">
        <v>54</v>
      </c>
      <c r="E29" s="4">
        <v>8</v>
      </c>
      <c r="F29" s="4">
        <v>2</v>
      </c>
      <c r="G29" s="5">
        <v>5.45</v>
      </c>
      <c r="H29" s="16" t="s">
        <v>343</v>
      </c>
      <c r="I29" s="16">
        <v>203.1</v>
      </c>
      <c r="J29" s="14">
        <v>49</v>
      </c>
      <c r="K29" s="14">
        <v>108.8</v>
      </c>
      <c r="L29" s="14">
        <v>284.79000000000002</v>
      </c>
      <c r="M29" s="18">
        <v>150.21</v>
      </c>
      <c r="N29" s="14">
        <v>119.9</v>
      </c>
      <c r="O29" s="14">
        <f t="shared" si="0"/>
        <v>175.99</v>
      </c>
      <c r="P29" s="14">
        <f t="shared" si="1"/>
        <v>41.410000000000011</v>
      </c>
      <c r="Q29" s="14">
        <f t="shared" si="2"/>
        <v>11.100000000000009</v>
      </c>
      <c r="R29" s="9">
        <f t="shared" si="3"/>
        <v>76.470253991704055</v>
      </c>
      <c r="S29" s="9">
        <f t="shared" si="4"/>
        <v>26.805119536343895</v>
      </c>
      <c r="T29" s="9">
        <f t="shared" si="5"/>
        <v>73.194880463656105</v>
      </c>
    </row>
    <row r="30" spans="1:29" x14ac:dyDescent="0.25">
      <c r="A30" s="4">
        <v>27</v>
      </c>
      <c r="B30" s="4" t="s">
        <v>62</v>
      </c>
      <c r="C30" s="4" t="s">
        <v>9</v>
      </c>
      <c r="D30" s="4">
        <v>54</v>
      </c>
      <c r="E30" s="4">
        <v>8</v>
      </c>
      <c r="F30" s="4">
        <v>3</v>
      </c>
      <c r="G30" s="5">
        <v>5.45</v>
      </c>
      <c r="H30" s="16" t="s">
        <v>344</v>
      </c>
      <c r="I30" s="16">
        <v>224.7</v>
      </c>
      <c r="J30" s="14">
        <v>46</v>
      </c>
      <c r="K30" s="14">
        <v>121.52</v>
      </c>
      <c r="L30" s="14">
        <v>232.57</v>
      </c>
      <c r="M30" s="18">
        <v>146.33000000000001</v>
      </c>
      <c r="N30" s="14">
        <v>125.5</v>
      </c>
      <c r="O30" s="14">
        <f t="shared" si="0"/>
        <v>111.05</v>
      </c>
      <c r="P30" s="14">
        <f t="shared" si="1"/>
        <v>24.810000000000016</v>
      </c>
      <c r="Q30" s="14">
        <f t="shared" si="2"/>
        <v>3.980000000000004</v>
      </c>
      <c r="R30" s="9">
        <f t="shared" si="3"/>
        <v>77.658712291760452</v>
      </c>
      <c r="S30" s="9">
        <f t="shared" si="4"/>
        <v>16.041918581217256</v>
      </c>
      <c r="T30" s="9">
        <f t="shared" si="5"/>
        <v>83.958081418782754</v>
      </c>
    </row>
    <row r="31" spans="1:29" x14ac:dyDescent="0.25">
      <c r="A31" s="4">
        <v>28</v>
      </c>
      <c r="B31" s="4" t="s">
        <v>64</v>
      </c>
      <c r="C31" s="4" t="s">
        <v>65</v>
      </c>
      <c r="D31" s="4" t="s">
        <v>10</v>
      </c>
      <c r="E31" s="4">
        <v>1</v>
      </c>
      <c r="F31" s="4">
        <v>1</v>
      </c>
      <c r="G31" s="5">
        <v>5.45</v>
      </c>
      <c r="H31" s="16" t="s">
        <v>345</v>
      </c>
      <c r="I31" s="16">
        <v>196.8</v>
      </c>
      <c r="J31" s="14">
        <v>4</v>
      </c>
      <c r="K31" s="14">
        <v>100.83</v>
      </c>
      <c r="L31" s="14">
        <v>217.67</v>
      </c>
      <c r="M31" s="18">
        <v>122.33</v>
      </c>
      <c r="N31" s="14">
        <v>105.28</v>
      </c>
      <c r="O31" s="14">
        <f t="shared" si="0"/>
        <v>116.83999999999999</v>
      </c>
      <c r="P31" s="14">
        <f t="shared" si="1"/>
        <v>21.5</v>
      </c>
      <c r="Q31" s="14">
        <f t="shared" si="2"/>
        <v>4.4500000000000028</v>
      </c>
      <c r="R31" s="9">
        <f t="shared" si="3"/>
        <v>81.59876754536117</v>
      </c>
      <c r="S31" s="9">
        <f t="shared" si="4"/>
        <v>20.697674418604663</v>
      </c>
      <c r="T31" s="9">
        <f t="shared" si="5"/>
        <v>79.302325581395337</v>
      </c>
    </row>
    <row r="32" spans="1:29" x14ac:dyDescent="0.25">
      <c r="A32" s="4">
        <v>29</v>
      </c>
      <c r="B32" s="4" t="s">
        <v>67</v>
      </c>
      <c r="C32" s="4" t="s">
        <v>65</v>
      </c>
      <c r="D32" s="4" t="s">
        <v>10</v>
      </c>
      <c r="E32" s="4">
        <v>1</v>
      </c>
      <c r="F32" s="4">
        <v>2</v>
      </c>
      <c r="G32" s="5">
        <v>5.5</v>
      </c>
      <c r="H32" s="16" t="s">
        <v>346</v>
      </c>
      <c r="I32" s="16">
        <v>205</v>
      </c>
      <c r="J32" s="14">
        <v>52</v>
      </c>
      <c r="K32" s="14">
        <v>118.03</v>
      </c>
      <c r="L32" s="14">
        <v>297.52</v>
      </c>
      <c r="M32" s="18">
        <v>153.01</v>
      </c>
      <c r="N32" s="14">
        <v>124.69</v>
      </c>
      <c r="O32" s="14">
        <f t="shared" si="0"/>
        <v>179.48999999999998</v>
      </c>
      <c r="P32" s="14">
        <f t="shared" si="1"/>
        <v>34.97999999999999</v>
      </c>
      <c r="Q32" s="14">
        <f>N32-K32</f>
        <v>6.6599999999999966</v>
      </c>
      <c r="R32" s="9">
        <f t="shared" si="3"/>
        <v>80.51144910579977</v>
      </c>
      <c r="S32" s="9">
        <f t="shared" si="4"/>
        <v>19.039451114922809</v>
      </c>
      <c r="T32" s="9">
        <f t="shared" si="5"/>
        <v>80.960548885077188</v>
      </c>
    </row>
    <row r="33" spans="1:20" x14ac:dyDescent="0.25">
      <c r="A33" s="4">
        <v>30</v>
      </c>
      <c r="B33" s="4" t="s">
        <v>69</v>
      </c>
      <c r="C33" s="4" t="s">
        <v>65</v>
      </c>
      <c r="D33" s="4" t="s">
        <v>10</v>
      </c>
      <c r="E33" s="4">
        <v>1</v>
      </c>
      <c r="F33" s="4">
        <v>3</v>
      </c>
      <c r="G33" s="5">
        <v>5</v>
      </c>
      <c r="H33" s="16" t="s">
        <v>347</v>
      </c>
      <c r="I33" s="16">
        <v>204.6</v>
      </c>
      <c r="J33" s="14">
        <v>35</v>
      </c>
      <c r="K33" s="14">
        <v>112.26</v>
      </c>
      <c r="L33" s="14">
        <v>313.38</v>
      </c>
      <c r="M33" s="18">
        <v>174.38</v>
      </c>
      <c r="N33" s="14">
        <v>150.1</v>
      </c>
      <c r="O33" s="14">
        <f>L33-K33</f>
        <v>201.12</v>
      </c>
      <c r="P33" s="14">
        <f>M33-K33</f>
        <v>62.11999999999999</v>
      </c>
      <c r="Q33" s="14">
        <f>N33-K33</f>
        <v>37.839999999999989</v>
      </c>
      <c r="R33" s="9">
        <f t="shared" si="3"/>
        <v>69.112967382657118</v>
      </c>
      <c r="S33" s="9">
        <f>Q33*100/P33</f>
        <v>60.914359304571789</v>
      </c>
      <c r="T33" s="9">
        <f t="shared" si="5"/>
        <v>39.085640695428211</v>
      </c>
    </row>
    <row r="34" spans="1:20" x14ac:dyDescent="0.25">
      <c r="A34" s="4">
        <v>31</v>
      </c>
      <c r="B34" s="4" t="s">
        <v>71</v>
      </c>
      <c r="C34" s="4" t="s">
        <v>65</v>
      </c>
      <c r="D34" s="4" t="s">
        <v>10</v>
      </c>
      <c r="E34" s="4">
        <v>1</v>
      </c>
      <c r="F34" s="4">
        <v>4</v>
      </c>
      <c r="G34" s="5">
        <v>8.75</v>
      </c>
      <c r="H34" s="16" t="s">
        <v>348</v>
      </c>
      <c r="I34" s="16">
        <v>199.3</v>
      </c>
      <c r="J34" s="14">
        <v>70</v>
      </c>
      <c r="K34" s="14">
        <v>139.76</v>
      </c>
      <c r="L34" s="14">
        <v>300.49</v>
      </c>
      <c r="M34" s="18">
        <v>172.21</v>
      </c>
      <c r="N34" s="14">
        <v>147.25</v>
      </c>
      <c r="O34" s="14">
        <f t="shared" si="0"/>
        <v>160.73000000000002</v>
      </c>
      <c r="P34" s="14">
        <f t="shared" si="1"/>
        <v>32.450000000000017</v>
      </c>
      <c r="Q34" s="14">
        <f>N34-K34</f>
        <v>7.4900000000000091</v>
      </c>
      <c r="R34" s="9">
        <f t="shared" si="3"/>
        <v>79.810862937846068</v>
      </c>
      <c r="S34" s="9">
        <f t="shared" si="4"/>
        <v>23.081664098613267</v>
      </c>
      <c r="T34" s="9">
        <f t="shared" si="5"/>
        <v>76.91833590138674</v>
      </c>
    </row>
    <row r="35" spans="1:20" x14ac:dyDescent="0.25">
      <c r="A35" s="4">
        <v>32</v>
      </c>
      <c r="B35" s="4" t="s">
        <v>73</v>
      </c>
      <c r="C35" s="4" t="s">
        <v>65</v>
      </c>
      <c r="D35" s="4" t="s">
        <v>10</v>
      </c>
      <c r="E35" s="4">
        <v>1</v>
      </c>
      <c r="F35" s="4">
        <v>5</v>
      </c>
      <c r="G35" s="5">
        <v>5.15</v>
      </c>
      <c r="H35" s="16" t="s">
        <v>349</v>
      </c>
      <c r="I35" s="16">
        <v>219</v>
      </c>
      <c r="J35" s="14">
        <v>23</v>
      </c>
      <c r="K35" s="14">
        <v>116.07</v>
      </c>
      <c r="L35" s="14">
        <v>328.01</v>
      </c>
      <c r="M35" s="18">
        <v>161.93</v>
      </c>
      <c r="N35" s="14">
        <v>124.73</v>
      </c>
      <c r="O35" s="14">
        <f t="shared" si="0"/>
        <v>211.94</v>
      </c>
      <c r="P35" s="14">
        <f t="shared" si="1"/>
        <v>45.860000000000014</v>
      </c>
      <c r="Q35" s="14">
        <f t="shared" si="2"/>
        <v>8.6600000000000108</v>
      </c>
      <c r="R35" s="9">
        <f t="shared" si="3"/>
        <v>78.361800509578188</v>
      </c>
      <c r="S35" s="9">
        <f t="shared" si="4"/>
        <v>18.883558656781528</v>
      </c>
      <c r="T35" s="9">
        <f t="shared" si="5"/>
        <v>81.116441343218483</v>
      </c>
    </row>
    <row r="36" spans="1:20" x14ac:dyDescent="0.25">
      <c r="A36" s="4">
        <v>33</v>
      </c>
      <c r="B36" s="7" t="s">
        <v>75</v>
      </c>
      <c r="C36" s="7" t="s">
        <v>65</v>
      </c>
      <c r="D36" s="7" t="s">
        <v>10</v>
      </c>
      <c r="E36" s="7">
        <v>1</v>
      </c>
      <c r="F36" s="7">
        <v>6</v>
      </c>
      <c r="G36" s="8">
        <v>6</v>
      </c>
      <c r="H36" s="16" t="s">
        <v>390</v>
      </c>
      <c r="I36" s="16">
        <v>206.7</v>
      </c>
      <c r="R36" s="9"/>
      <c r="S36" s="9"/>
      <c r="T36" s="9"/>
    </row>
    <row r="37" spans="1:20" x14ac:dyDescent="0.25">
      <c r="A37" s="4">
        <v>34</v>
      </c>
      <c r="B37" s="7" t="s">
        <v>77</v>
      </c>
      <c r="C37" s="7" t="s">
        <v>65</v>
      </c>
      <c r="D37" s="7" t="s">
        <v>10</v>
      </c>
      <c r="E37" s="7">
        <v>1</v>
      </c>
      <c r="F37" s="7">
        <v>7</v>
      </c>
      <c r="G37" s="8">
        <v>8.25</v>
      </c>
      <c r="H37" s="16" t="s">
        <v>391</v>
      </c>
      <c r="I37" s="16">
        <v>205.1</v>
      </c>
      <c r="R37" s="9"/>
      <c r="S37" s="9"/>
      <c r="T37" s="9"/>
    </row>
    <row r="38" spans="1:20" x14ac:dyDescent="0.25">
      <c r="A38" s="4">
        <v>35</v>
      </c>
      <c r="B38" s="7" t="s">
        <v>79</v>
      </c>
      <c r="C38" s="7" t="s">
        <v>65</v>
      </c>
      <c r="D38" s="7" t="s">
        <v>10</v>
      </c>
      <c r="E38" s="7">
        <v>1</v>
      </c>
      <c r="F38" s="7">
        <v>8</v>
      </c>
      <c r="G38" s="8">
        <v>7.55</v>
      </c>
      <c r="H38" s="16" t="s">
        <v>392</v>
      </c>
      <c r="I38" s="16">
        <v>206.2</v>
      </c>
      <c r="R38" s="9"/>
      <c r="S38" s="9"/>
      <c r="T38" s="9"/>
    </row>
    <row r="39" spans="1:20" x14ac:dyDescent="0.25">
      <c r="A39" s="4">
        <v>36</v>
      </c>
      <c r="B39" s="4" t="s">
        <v>81</v>
      </c>
      <c r="C39" s="4" t="s">
        <v>65</v>
      </c>
      <c r="D39" s="4" t="s">
        <v>10</v>
      </c>
      <c r="E39" s="4">
        <v>4</v>
      </c>
      <c r="F39" s="4">
        <v>1</v>
      </c>
      <c r="G39" s="5">
        <v>7.3</v>
      </c>
      <c r="H39" s="16" t="s">
        <v>350</v>
      </c>
      <c r="I39" s="16">
        <v>202.9</v>
      </c>
      <c r="J39" s="14">
        <v>27</v>
      </c>
      <c r="K39" s="14">
        <v>105.92</v>
      </c>
      <c r="L39" s="14">
        <v>266.81</v>
      </c>
      <c r="M39" s="18">
        <v>138.63999999999999</v>
      </c>
      <c r="N39" s="14">
        <v>112.31</v>
      </c>
      <c r="O39" s="14">
        <f t="shared" ref="O39:O43" si="12">L39-K39</f>
        <v>160.88999999999999</v>
      </c>
      <c r="P39" s="14">
        <f t="shared" ref="P39:P43" si="13">M39-K39</f>
        <v>32.719999999999985</v>
      </c>
      <c r="Q39" s="14">
        <f t="shared" ref="Q39:Q43" si="14">N39-K39</f>
        <v>6.3900000000000006</v>
      </c>
      <c r="R39" s="9">
        <f t="shared" si="3"/>
        <v>79.663123873453927</v>
      </c>
      <c r="S39" s="9">
        <f>Q39*100/P39</f>
        <v>19.529339853300744</v>
      </c>
      <c r="T39" s="9">
        <f>(P39-Q39)*100/P39</f>
        <v>80.470660146699245</v>
      </c>
    </row>
    <row r="40" spans="1:20" x14ac:dyDescent="0.25">
      <c r="A40" s="4">
        <v>37</v>
      </c>
      <c r="B40" s="4" t="s">
        <v>83</v>
      </c>
      <c r="C40" s="4" t="s">
        <v>65</v>
      </c>
      <c r="D40" s="4" t="s">
        <v>10</v>
      </c>
      <c r="E40" s="4">
        <v>4</v>
      </c>
      <c r="F40" s="4">
        <v>2</v>
      </c>
      <c r="G40" s="5">
        <v>8.15</v>
      </c>
      <c r="H40" s="16" t="s">
        <v>351</v>
      </c>
      <c r="I40" s="16">
        <v>208</v>
      </c>
      <c r="J40" s="14">
        <v>14</v>
      </c>
      <c r="K40" s="14">
        <v>117.13</v>
      </c>
      <c r="L40" s="14">
        <v>311.38</v>
      </c>
      <c r="M40" s="18">
        <v>158.03</v>
      </c>
      <c r="N40" s="14">
        <v>124.69</v>
      </c>
      <c r="O40" s="14">
        <f t="shared" si="12"/>
        <v>194.25</v>
      </c>
      <c r="P40" s="14">
        <f t="shared" si="13"/>
        <v>40.900000000000006</v>
      </c>
      <c r="Q40" s="14">
        <f t="shared" si="14"/>
        <v>7.5600000000000023</v>
      </c>
      <c r="R40" s="9">
        <f t="shared" si="3"/>
        <v>78.94465894465894</v>
      </c>
      <c r="S40" s="9">
        <f>Q40*100/P40</f>
        <v>18.484107579462105</v>
      </c>
      <c r="T40" s="9">
        <f>(P40-Q40)*100/P40</f>
        <v>81.515892420537895</v>
      </c>
    </row>
    <row r="41" spans="1:20" x14ac:dyDescent="0.25">
      <c r="A41" s="4">
        <v>38</v>
      </c>
      <c r="B41" s="4" t="s">
        <v>85</v>
      </c>
      <c r="C41" s="4" t="s">
        <v>65</v>
      </c>
      <c r="D41" s="4" t="s">
        <v>10</v>
      </c>
      <c r="E41" s="4">
        <v>4</v>
      </c>
      <c r="F41" s="4">
        <v>3</v>
      </c>
      <c r="G41" s="5">
        <v>6.95</v>
      </c>
      <c r="H41" s="16" t="s">
        <v>352</v>
      </c>
      <c r="I41" s="16">
        <v>203.4</v>
      </c>
      <c r="J41" s="14">
        <v>21</v>
      </c>
      <c r="K41" s="14">
        <v>106.37</v>
      </c>
      <c r="L41" s="14">
        <v>269.39</v>
      </c>
      <c r="M41" s="18">
        <v>135.26</v>
      </c>
      <c r="N41" s="14">
        <v>111.73</v>
      </c>
      <c r="O41" s="14">
        <f t="shared" si="12"/>
        <v>163.01999999999998</v>
      </c>
      <c r="P41" s="14">
        <f t="shared" si="13"/>
        <v>28.889999999999986</v>
      </c>
      <c r="Q41" s="14">
        <f t="shared" si="14"/>
        <v>5.3599999999999994</v>
      </c>
      <c r="R41" s="9">
        <f t="shared" si="3"/>
        <v>82.278248067721762</v>
      </c>
      <c r="S41" s="9">
        <f>Q41*100/P41</f>
        <v>18.553132571824168</v>
      </c>
      <c r="T41" s="9">
        <f>(P41-Q41)*100/P41</f>
        <v>81.446867428175835</v>
      </c>
    </row>
    <row r="42" spans="1:20" x14ac:dyDescent="0.25">
      <c r="A42" s="4">
        <v>39</v>
      </c>
      <c r="B42" s="4" t="s">
        <v>87</v>
      </c>
      <c r="C42" s="4" t="s">
        <v>65</v>
      </c>
      <c r="D42" s="4" t="s">
        <v>10</v>
      </c>
      <c r="E42" s="4">
        <v>4</v>
      </c>
      <c r="F42" s="4">
        <v>4</v>
      </c>
      <c r="G42" s="5">
        <v>6.1</v>
      </c>
      <c r="H42" s="16" t="s">
        <v>353</v>
      </c>
      <c r="I42" s="16">
        <v>223.7</v>
      </c>
      <c r="J42" s="14">
        <v>10</v>
      </c>
      <c r="K42" s="14">
        <v>102.47</v>
      </c>
      <c r="L42" s="14">
        <v>317.43</v>
      </c>
      <c r="M42" s="18">
        <v>138.16999999999999</v>
      </c>
      <c r="N42" s="14">
        <v>109.01</v>
      </c>
      <c r="O42" s="14">
        <f t="shared" si="12"/>
        <v>214.96</v>
      </c>
      <c r="P42" s="14">
        <f t="shared" si="13"/>
        <v>35.699999999999989</v>
      </c>
      <c r="Q42" s="14">
        <f t="shared" si="14"/>
        <v>6.5400000000000063</v>
      </c>
      <c r="R42" s="9">
        <f t="shared" si="3"/>
        <v>83.392259024934887</v>
      </c>
      <c r="S42" s="9">
        <f>Q42*100/P42</f>
        <v>18.319327731092461</v>
      </c>
      <c r="T42" s="9">
        <f>(P42-Q42)*100/P42</f>
        <v>81.680672268907543</v>
      </c>
    </row>
    <row r="43" spans="1:20" x14ac:dyDescent="0.25">
      <c r="A43" s="4">
        <v>40</v>
      </c>
      <c r="B43" s="4" t="s">
        <v>89</v>
      </c>
      <c r="C43" s="4" t="s">
        <v>65</v>
      </c>
      <c r="D43" s="4" t="s">
        <v>10</v>
      </c>
      <c r="E43" s="4">
        <v>4</v>
      </c>
      <c r="F43" s="4">
        <v>5</v>
      </c>
      <c r="G43" s="5">
        <v>4.1500000000000004</v>
      </c>
      <c r="H43" s="16" t="s">
        <v>354</v>
      </c>
      <c r="I43" s="16">
        <v>197.2</v>
      </c>
      <c r="J43" s="14">
        <v>17</v>
      </c>
      <c r="K43" s="14">
        <v>114.12</v>
      </c>
      <c r="L43" s="14">
        <v>284.79000000000002</v>
      </c>
      <c r="M43" s="18">
        <v>151.65</v>
      </c>
      <c r="N43" s="14">
        <v>121.55</v>
      </c>
      <c r="O43" s="14">
        <f t="shared" si="12"/>
        <v>170.67000000000002</v>
      </c>
      <c r="P43" s="14">
        <f t="shared" si="13"/>
        <v>37.53</v>
      </c>
      <c r="Q43" s="14">
        <f t="shared" si="14"/>
        <v>7.4299999999999926</v>
      </c>
      <c r="R43" s="9">
        <f t="shared" si="3"/>
        <v>78.010195113376696</v>
      </c>
      <c r="S43" s="9">
        <f>Q43*100/P43</f>
        <v>19.797495337063662</v>
      </c>
      <c r="T43" s="9">
        <f>(P43-Q43)*100/P43</f>
        <v>80.202504662936335</v>
      </c>
    </row>
    <row r="44" spans="1:20" x14ac:dyDescent="0.25">
      <c r="A44" s="4">
        <v>41</v>
      </c>
      <c r="B44" s="7" t="s">
        <v>91</v>
      </c>
      <c r="C44" s="7" t="s">
        <v>65</v>
      </c>
      <c r="D44" s="7" t="s">
        <v>10</v>
      </c>
      <c r="E44" s="7">
        <v>4</v>
      </c>
      <c r="F44" s="7">
        <v>6</v>
      </c>
      <c r="G44" s="8">
        <v>5.3</v>
      </c>
      <c r="H44" s="16" t="s">
        <v>393</v>
      </c>
      <c r="I44" s="16">
        <v>216</v>
      </c>
      <c r="R44" s="9"/>
      <c r="S44" s="9"/>
      <c r="T44" s="9"/>
    </row>
    <row r="45" spans="1:20" x14ac:dyDescent="0.25">
      <c r="A45" s="4">
        <v>42</v>
      </c>
      <c r="B45" s="7" t="s">
        <v>93</v>
      </c>
      <c r="C45" s="7" t="s">
        <v>65</v>
      </c>
      <c r="D45" s="7" t="s">
        <v>10</v>
      </c>
      <c r="E45" s="7">
        <v>4</v>
      </c>
      <c r="F45" s="7">
        <v>7</v>
      </c>
      <c r="G45" s="8">
        <v>7.4</v>
      </c>
      <c r="H45" s="16" t="s">
        <v>394</v>
      </c>
      <c r="I45" s="16">
        <v>202.3</v>
      </c>
      <c r="R45" s="9"/>
      <c r="S45" s="9"/>
      <c r="T45" s="9"/>
    </row>
    <row r="46" spans="1:20" x14ac:dyDescent="0.25">
      <c r="A46" s="4">
        <v>43</v>
      </c>
      <c r="B46" s="7" t="s">
        <v>95</v>
      </c>
      <c r="C46" s="7" t="s">
        <v>65</v>
      </c>
      <c r="D46" s="7" t="s">
        <v>10</v>
      </c>
      <c r="E46" s="7">
        <v>4</v>
      </c>
      <c r="F46" s="7">
        <v>8</v>
      </c>
      <c r="G46" s="8">
        <v>7.95</v>
      </c>
      <c r="H46" s="16" t="s">
        <v>395</v>
      </c>
      <c r="I46" s="16">
        <v>207.7</v>
      </c>
      <c r="R46" s="9"/>
      <c r="S46" s="9"/>
      <c r="T46" s="9"/>
    </row>
    <row r="47" spans="1:20" x14ac:dyDescent="0.25">
      <c r="A47" s="4">
        <v>44</v>
      </c>
      <c r="B47" s="4" t="s">
        <v>97</v>
      </c>
      <c r="C47" s="4" t="s">
        <v>65</v>
      </c>
      <c r="D47" s="4" t="s">
        <v>10</v>
      </c>
      <c r="E47" s="4">
        <v>7</v>
      </c>
      <c r="F47" s="4">
        <v>1</v>
      </c>
      <c r="G47" s="5">
        <v>5.15</v>
      </c>
      <c r="H47" s="16" t="s">
        <v>355</v>
      </c>
      <c r="I47" s="16">
        <v>216.2</v>
      </c>
      <c r="J47" s="14">
        <v>30</v>
      </c>
      <c r="K47" s="14">
        <v>109.7</v>
      </c>
      <c r="L47" s="14">
        <v>286.67</v>
      </c>
      <c r="M47" s="18">
        <v>146.37</v>
      </c>
      <c r="N47" s="14">
        <v>119.68</v>
      </c>
      <c r="O47" s="14">
        <f t="shared" ref="O47:O51" si="15">L47-K47</f>
        <v>176.97000000000003</v>
      </c>
      <c r="P47" s="14">
        <f t="shared" ref="P47:P51" si="16">M47-K47</f>
        <v>36.67</v>
      </c>
      <c r="Q47" s="14">
        <f t="shared" ref="Q47:Q51" si="17">N47-K47</f>
        <v>9.980000000000004</v>
      </c>
      <c r="R47" s="9">
        <f t="shared" si="3"/>
        <v>79.27897383737357</v>
      </c>
      <c r="S47" s="9">
        <f>Q47*100/P47</f>
        <v>27.215707662939742</v>
      </c>
      <c r="T47" s="9">
        <f>(P47-Q47)*100/P47</f>
        <v>72.784292337060265</v>
      </c>
    </row>
    <row r="48" spans="1:20" x14ac:dyDescent="0.25">
      <c r="A48" s="4">
        <v>45</v>
      </c>
      <c r="B48" s="4" t="s">
        <v>99</v>
      </c>
      <c r="C48" s="4" t="s">
        <v>65</v>
      </c>
      <c r="D48" s="4" t="s">
        <v>10</v>
      </c>
      <c r="E48" s="4">
        <v>7</v>
      </c>
      <c r="F48" s="4">
        <v>2</v>
      </c>
      <c r="G48" s="5">
        <v>4.8</v>
      </c>
      <c r="H48" s="16" t="s">
        <v>356</v>
      </c>
      <c r="I48" s="16">
        <v>207.4</v>
      </c>
      <c r="J48" s="14">
        <v>53</v>
      </c>
      <c r="K48" s="14">
        <v>119.86</v>
      </c>
      <c r="L48" s="14">
        <v>288.72000000000003</v>
      </c>
      <c r="M48" s="18">
        <v>152.57</v>
      </c>
      <c r="N48" s="14">
        <v>126.56</v>
      </c>
      <c r="O48" s="14">
        <f t="shared" si="15"/>
        <v>168.86</v>
      </c>
      <c r="P48" s="14">
        <f t="shared" si="16"/>
        <v>32.709999999999994</v>
      </c>
      <c r="Q48" s="14">
        <f t="shared" si="17"/>
        <v>6.7000000000000028</v>
      </c>
      <c r="R48" s="9">
        <f t="shared" si="3"/>
        <v>80.628923368470936</v>
      </c>
      <c r="S48" s="9">
        <f>Q48*100/P48</f>
        <v>20.483032711708969</v>
      </c>
      <c r="T48" s="9">
        <f>(P48-Q48)*100/P48</f>
        <v>79.516967288291028</v>
      </c>
    </row>
    <row r="49" spans="1:20" x14ac:dyDescent="0.25">
      <c r="A49" s="4">
        <v>46</v>
      </c>
      <c r="B49" s="4" t="s">
        <v>101</v>
      </c>
      <c r="C49" s="4" t="s">
        <v>65</v>
      </c>
      <c r="D49" s="4" t="s">
        <v>10</v>
      </c>
      <c r="E49" s="4">
        <v>7</v>
      </c>
      <c r="F49" s="4">
        <v>3</v>
      </c>
      <c r="G49" s="5">
        <v>7.05</v>
      </c>
      <c r="H49" s="16" t="s">
        <v>357</v>
      </c>
      <c r="I49" s="16">
        <v>205.8</v>
      </c>
      <c r="J49" s="14">
        <v>8</v>
      </c>
      <c r="K49" s="14">
        <v>108.62</v>
      </c>
      <c r="L49" s="14">
        <v>277.48</v>
      </c>
      <c r="M49" s="18">
        <v>139.99</v>
      </c>
      <c r="N49" s="14">
        <v>114.01</v>
      </c>
      <c r="O49" s="14">
        <f t="shared" si="15"/>
        <v>168.86</v>
      </c>
      <c r="P49" s="14">
        <f t="shared" si="16"/>
        <v>31.370000000000005</v>
      </c>
      <c r="Q49" s="14">
        <f t="shared" si="17"/>
        <v>5.3900000000000006</v>
      </c>
      <c r="R49" s="9">
        <f t="shared" si="3"/>
        <v>81.422480161080173</v>
      </c>
      <c r="S49" s="9">
        <f>Q49*100/P49</f>
        <v>17.182021039209435</v>
      </c>
      <c r="T49" s="9">
        <f>(P49-Q49)*100/P49</f>
        <v>82.817978960790569</v>
      </c>
    </row>
    <row r="50" spans="1:20" x14ac:dyDescent="0.25">
      <c r="A50" s="4">
        <v>47</v>
      </c>
      <c r="B50" s="4" t="s">
        <v>103</v>
      </c>
      <c r="C50" s="4" t="s">
        <v>65</v>
      </c>
      <c r="D50" s="4" t="s">
        <v>10</v>
      </c>
      <c r="E50" s="4">
        <v>7</v>
      </c>
      <c r="F50" s="4">
        <v>4</v>
      </c>
      <c r="G50" s="5">
        <v>6.5</v>
      </c>
      <c r="H50" s="16" t="s">
        <v>358</v>
      </c>
      <c r="I50" s="16">
        <v>218.6</v>
      </c>
      <c r="J50" s="14">
        <v>58</v>
      </c>
      <c r="K50" s="14">
        <v>119.88</v>
      </c>
      <c r="L50" s="14">
        <v>280.64</v>
      </c>
      <c r="M50" s="18">
        <v>151.33000000000001</v>
      </c>
      <c r="N50" s="14">
        <v>129.44999999999999</v>
      </c>
      <c r="O50" s="14">
        <f t="shared" si="15"/>
        <v>160.76</v>
      </c>
      <c r="P50" s="14">
        <f t="shared" si="16"/>
        <v>31.450000000000017</v>
      </c>
      <c r="Q50" s="14">
        <f t="shared" si="17"/>
        <v>9.5699999999999932</v>
      </c>
      <c r="R50" s="9">
        <f t="shared" si="3"/>
        <v>80.436675789997508</v>
      </c>
      <c r="S50" s="9">
        <f>Q50*100/P50</f>
        <v>30.42925278219392</v>
      </c>
      <c r="T50" s="9">
        <f>(P50-Q50)*100/P50</f>
        <v>69.570747217806073</v>
      </c>
    </row>
    <row r="51" spans="1:20" x14ac:dyDescent="0.25">
      <c r="A51" s="4">
        <v>48</v>
      </c>
      <c r="B51" s="4" t="s">
        <v>105</v>
      </c>
      <c r="C51" s="4" t="s">
        <v>65</v>
      </c>
      <c r="D51" s="4" t="s">
        <v>10</v>
      </c>
      <c r="E51" s="4">
        <v>7</v>
      </c>
      <c r="F51" s="4">
        <v>5</v>
      </c>
      <c r="G51" s="5">
        <v>7.3</v>
      </c>
      <c r="H51" s="16" t="s">
        <v>359</v>
      </c>
      <c r="I51" s="16">
        <v>214.2</v>
      </c>
      <c r="J51" s="14">
        <v>72</v>
      </c>
      <c r="K51" s="14">
        <v>126.17</v>
      </c>
      <c r="L51" s="14">
        <v>322.93</v>
      </c>
      <c r="M51" s="18">
        <v>164.76</v>
      </c>
      <c r="N51" s="14">
        <v>136.15</v>
      </c>
      <c r="O51" s="14">
        <f t="shared" si="15"/>
        <v>196.76</v>
      </c>
      <c r="P51" s="14">
        <f t="shared" si="16"/>
        <v>38.589999999999989</v>
      </c>
      <c r="Q51" s="14">
        <f t="shared" si="17"/>
        <v>9.980000000000004</v>
      </c>
      <c r="R51" s="9">
        <f t="shared" si="3"/>
        <v>80.387273836145567</v>
      </c>
      <c r="S51" s="9">
        <f>Q51*100/P51</f>
        <v>25.861622181912431</v>
      </c>
      <c r="T51" s="9">
        <f>(P51-Q51)*100/P51</f>
        <v>74.138377818087577</v>
      </c>
    </row>
    <row r="52" spans="1:20" x14ac:dyDescent="0.25">
      <c r="A52" s="4">
        <v>49</v>
      </c>
      <c r="B52" s="7" t="s">
        <v>107</v>
      </c>
      <c r="C52" s="7" t="s">
        <v>65</v>
      </c>
      <c r="D52" s="7" t="s">
        <v>10</v>
      </c>
      <c r="E52" s="7">
        <v>7</v>
      </c>
      <c r="F52" s="7">
        <v>6</v>
      </c>
      <c r="G52" s="8">
        <v>5.5</v>
      </c>
      <c r="H52" s="16" t="s">
        <v>396</v>
      </c>
      <c r="I52" s="16">
        <v>213.8</v>
      </c>
      <c r="R52" s="9"/>
      <c r="S52" s="9"/>
      <c r="T52" s="9"/>
    </row>
    <row r="53" spans="1:20" x14ac:dyDescent="0.25">
      <c r="A53" s="4">
        <v>50</v>
      </c>
      <c r="B53" s="7" t="s">
        <v>109</v>
      </c>
      <c r="C53" s="7" t="s">
        <v>65</v>
      </c>
      <c r="D53" s="7" t="s">
        <v>10</v>
      </c>
      <c r="E53" s="7">
        <v>7</v>
      </c>
      <c r="F53" s="7">
        <v>7</v>
      </c>
      <c r="G53" s="8">
        <v>9.9499999999999993</v>
      </c>
      <c r="H53" s="16" t="s">
        <v>397</v>
      </c>
      <c r="I53" s="16">
        <v>230.4</v>
      </c>
      <c r="R53" s="9"/>
      <c r="S53" s="9"/>
      <c r="T53" s="9"/>
    </row>
    <row r="54" spans="1:20" x14ac:dyDescent="0.25">
      <c r="A54" s="4">
        <v>51</v>
      </c>
      <c r="B54" s="7" t="s">
        <v>111</v>
      </c>
      <c r="C54" s="7" t="s">
        <v>65</v>
      </c>
      <c r="D54" s="7" t="s">
        <v>10</v>
      </c>
      <c r="E54" s="7">
        <v>7</v>
      </c>
      <c r="F54" s="7">
        <v>8</v>
      </c>
      <c r="G54" s="8">
        <v>5.45</v>
      </c>
      <c r="H54" s="16" t="s">
        <v>398</v>
      </c>
      <c r="I54" s="16">
        <v>222.4</v>
      </c>
      <c r="R54" s="9"/>
      <c r="S54" s="9"/>
      <c r="T54" s="9"/>
    </row>
    <row r="55" spans="1:20" x14ac:dyDescent="0.25">
      <c r="A55" s="4">
        <v>52</v>
      </c>
      <c r="B55" s="4" t="s">
        <v>113</v>
      </c>
      <c r="C55" s="4" t="s">
        <v>65</v>
      </c>
      <c r="D55" s="4">
        <v>13</v>
      </c>
      <c r="E55" s="4">
        <v>3</v>
      </c>
      <c r="F55" s="4">
        <v>1</v>
      </c>
      <c r="G55" s="5">
        <v>5.55</v>
      </c>
      <c r="H55" s="16" t="s">
        <v>360</v>
      </c>
      <c r="I55" s="16">
        <v>198.9</v>
      </c>
      <c r="J55" s="14">
        <v>38</v>
      </c>
      <c r="K55" s="14">
        <v>122.2</v>
      </c>
      <c r="L55" s="14">
        <v>298.27999999999997</v>
      </c>
      <c r="M55" s="18">
        <v>158.11000000000001</v>
      </c>
      <c r="N55" s="14">
        <v>134.57</v>
      </c>
      <c r="O55" s="14">
        <f t="shared" ref="O55:O59" si="18">L55-K55</f>
        <v>176.07999999999998</v>
      </c>
      <c r="P55" s="14">
        <f t="shared" ref="P55:P59" si="19">M55-K55</f>
        <v>35.910000000000011</v>
      </c>
      <c r="Q55" s="14">
        <f t="shared" ref="Q55:Q59" si="20">N55-K55</f>
        <v>12.36999999999999</v>
      </c>
      <c r="R55" s="9">
        <f t="shared" si="3"/>
        <v>79.605860972285313</v>
      </c>
      <c r="S55" s="9">
        <f>Q55*100/P55</f>
        <v>34.447229184071254</v>
      </c>
      <c r="T55" s="9">
        <f>(P55-Q55)*100/P55</f>
        <v>65.552770815928739</v>
      </c>
    </row>
    <row r="56" spans="1:20" x14ac:dyDescent="0.25">
      <c r="A56" s="4">
        <v>53</v>
      </c>
      <c r="B56" s="4" t="s">
        <v>115</v>
      </c>
      <c r="C56" s="4" t="s">
        <v>65</v>
      </c>
      <c r="D56" s="4">
        <v>13</v>
      </c>
      <c r="E56" s="4">
        <v>3</v>
      </c>
      <c r="F56" s="4">
        <v>2</v>
      </c>
      <c r="G56" s="5">
        <v>6.15</v>
      </c>
      <c r="H56" s="16" t="s">
        <v>361</v>
      </c>
      <c r="I56" s="16">
        <v>226.1</v>
      </c>
      <c r="J56" s="14">
        <v>50</v>
      </c>
      <c r="K56" s="14">
        <v>114.02</v>
      </c>
      <c r="L56" s="14">
        <v>332.2</v>
      </c>
      <c r="M56" s="18">
        <v>158.21</v>
      </c>
      <c r="N56" s="14">
        <v>124.48</v>
      </c>
      <c r="O56" s="14">
        <f t="shared" si="18"/>
        <v>218.18</v>
      </c>
      <c r="P56" s="14">
        <f t="shared" si="19"/>
        <v>44.190000000000012</v>
      </c>
      <c r="Q56" s="14">
        <f t="shared" si="20"/>
        <v>10.460000000000008</v>
      </c>
      <c r="R56" s="9">
        <f t="shared" si="3"/>
        <v>79.746081217343473</v>
      </c>
      <c r="S56" s="9">
        <f>Q56*100/P56</f>
        <v>23.670513690880306</v>
      </c>
      <c r="T56" s="9">
        <f>(P56-Q56)*100/P56</f>
        <v>76.329486309119702</v>
      </c>
    </row>
    <row r="57" spans="1:20" x14ac:dyDescent="0.25">
      <c r="A57" s="4">
        <v>54</v>
      </c>
      <c r="B57" s="4" t="s">
        <v>117</v>
      </c>
      <c r="C57" s="4" t="s">
        <v>65</v>
      </c>
      <c r="D57" s="4">
        <v>13</v>
      </c>
      <c r="E57" s="4">
        <v>3</v>
      </c>
      <c r="F57" s="4">
        <v>3</v>
      </c>
      <c r="G57" s="5">
        <v>6.05</v>
      </c>
      <c r="H57" s="16" t="s">
        <v>362</v>
      </c>
      <c r="I57" s="16">
        <v>205.8</v>
      </c>
      <c r="J57" s="14">
        <v>34</v>
      </c>
      <c r="K57" s="14">
        <v>124.18</v>
      </c>
      <c r="L57" s="14">
        <v>302.27999999999997</v>
      </c>
      <c r="M57" s="18">
        <v>160.94999999999999</v>
      </c>
      <c r="N57" s="14">
        <v>130.12</v>
      </c>
      <c r="O57" s="14">
        <f t="shared" si="18"/>
        <v>178.09999999999997</v>
      </c>
      <c r="P57" s="14">
        <f t="shared" si="19"/>
        <v>36.769999999999982</v>
      </c>
      <c r="Q57" s="14">
        <f t="shared" si="20"/>
        <v>5.9399999999999977</v>
      </c>
      <c r="R57" s="9">
        <f t="shared" si="3"/>
        <v>79.354295339696804</v>
      </c>
      <c r="S57" s="9">
        <f>Q57*100/P57</f>
        <v>16.154473755779168</v>
      </c>
      <c r="T57" s="9">
        <f>(P57-Q57)*100/P57</f>
        <v>83.845526244220821</v>
      </c>
    </row>
    <row r="58" spans="1:20" x14ac:dyDescent="0.25">
      <c r="A58" s="4">
        <v>55</v>
      </c>
      <c r="B58" s="4" t="s">
        <v>119</v>
      </c>
      <c r="C58" s="4" t="s">
        <v>65</v>
      </c>
      <c r="D58" s="4">
        <v>13</v>
      </c>
      <c r="E58" s="4">
        <v>3</v>
      </c>
      <c r="F58" s="4">
        <v>4</v>
      </c>
      <c r="G58" s="5">
        <v>6.8</v>
      </c>
      <c r="H58" s="16" t="s">
        <v>363</v>
      </c>
      <c r="I58" s="16">
        <v>199.3</v>
      </c>
      <c r="J58" s="14">
        <v>24</v>
      </c>
      <c r="K58" s="14">
        <v>113.13</v>
      </c>
      <c r="L58" s="14">
        <v>298.36</v>
      </c>
      <c r="M58" s="18">
        <v>153.82</v>
      </c>
      <c r="N58" s="14">
        <v>118.03</v>
      </c>
      <c r="O58" s="14">
        <f t="shared" si="18"/>
        <v>185.23000000000002</v>
      </c>
      <c r="P58" s="14">
        <f t="shared" si="19"/>
        <v>40.69</v>
      </c>
      <c r="Q58" s="14">
        <f t="shared" si="20"/>
        <v>4.9000000000000057</v>
      </c>
      <c r="R58" s="9">
        <f t="shared" si="3"/>
        <v>78.032716082707992</v>
      </c>
      <c r="S58" s="9">
        <f>Q58*100/P58</f>
        <v>12.042270828213335</v>
      </c>
      <c r="T58" s="9">
        <f>(P58-Q58)*100/P58</f>
        <v>87.957729171786667</v>
      </c>
    </row>
    <row r="59" spans="1:20" x14ac:dyDescent="0.25">
      <c r="A59" s="4">
        <v>56</v>
      </c>
      <c r="B59" s="4" t="s">
        <v>121</v>
      </c>
      <c r="C59" s="4" t="s">
        <v>65</v>
      </c>
      <c r="D59" s="4">
        <v>13</v>
      </c>
      <c r="E59" s="4">
        <v>3</v>
      </c>
      <c r="F59" s="4">
        <v>5</v>
      </c>
      <c r="G59" s="5">
        <v>5.7</v>
      </c>
      <c r="H59" s="16" t="s">
        <v>364</v>
      </c>
      <c r="I59" s="16">
        <v>213.6</v>
      </c>
      <c r="J59" s="14">
        <v>71</v>
      </c>
      <c r="K59" s="14">
        <v>146.88999999999999</v>
      </c>
      <c r="L59" s="14">
        <v>341.01</v>
      </c>
      <c r="M59" s="18">
        <v>182.67</v>
      </c>
      <c r="N59" s="14">
        <v>153.63</v>
      </c>
      <c r="O59" s="14">
        <f t="shared" si="18"/>
        <v>194.12</v>
      </c>
      <c r="P59" s="14">
        <f t="shared" si="19"/>
        <v>35.78</v>
      </c>
      <c r="Q59" s="14">
        <f t="shared" si="20"/>
        <v>6.7400000000000091</v>
      </c>
      <c r="R59" s="9">
        <f t="shared" si="3"/>
        <v>81.568102204821756</v>
      </c>
      <c r="S59" s="9">
        <f>Q59*100/P59</f>
        <v>18.837339295695944</v>
      </c>
      <c r="T59" s="9">
        <f>(P59-Q59)*100/P59</f>
        <v>81.162660704304059</v>
      </c>
    </row>
    <row r="60" spans="1:20" x14ac:dyDescent="0.25">
      <c r="A60" s="4">
        <v>57</v>
      </c>
      <c r="B60" s="7" t="s">
        <v>123</v>
      </c>
      <c r="C60" s="7" t="s">
        <v>65</v>
      </c>
      <c r="D60" s="7">
        <v>13</v>
      </c>
      <c r="E60" s="7">
        <v>3</v>
      </c>
      <c r="F60" s="7">
        <v>6</v>
      </c>
      <c r="G60" s="8">
        <v>10.199999999999999</v>
      </c>
      <c r="H60" s="16" t="s">
        <v>399</v>
      </c>
      <c r="I60" s="16">
        <v>208.2</v>
      </c>
      <c r="R60" s="9"/>
      <c r="S60" s="9"/>
      <c r="T60" s="9"/>
    </row>
    <row r="61" spans="1:20" x14ac:dyDescent="0.25">
      <c r="A61" s="4">
        <v>58</v>
      </c>
      <c r="B61" s="7" t="s">
        <v>125</v>
      </c>
      <c r="C61" s="7" t="s">
        <v>65</v>
      </c>
      <c r="D61" s="7">
        <v>13</v>
      </c>
      <c r="E61" s="7">
        <v>3</v>
      </c>
      <c r="F61" s="7">
        <v>7</v>
      </c>
      <c r="G61" s="8">
        <v>5.85</v>
      </c>
      <c r="H61" s="16" t="s">
        <v>400</v>
      </c>
      <c r="I61" s="16">
        <v>217</v>
      </c>
      <c r="R61" s="9"/>
      <c r="S61" s="9"/>
      <c r="T61" s="9"/>
    </row>
    <row r="62" spans="1:20" x14ac:dyDescent="0.25">
      <c r="A62" s="4">
        <v>59</v>
      </c>
      <c r="B62" s="4" t="s">
        <v>127</v>
      </c>
      <c r="C62" s="4" t="s">
        <v>65</v>
      </c>
      <c r="D62" s="4">
        <v>13</v>
      </c>
      <c r="E62" s="4">
        <v>5</v>
      </c>
      <c r="F62" s="4">
        <v>1</v>
      </c>
      <c r="G62" s="5">
        <v>5.2</v>
      </c>
      <c r="H62" s="16" t="s">
        <v>365</v>
      </c>
      <c r="I62" s="16">
        <v>203.7</v>
      </c>
      <c r="J62" s="14">
        <v>20</v>
      </c>
      <c r="K62" s="14">
        <v>117.86</v>
      </c>
      <c r="L62" s="14">
        <v>275.77</v>
      </c>
      <c r="M62" s="18">
        <v>150.24</v>
      </c>
      <c r="N62" s="14">
        <v>122.4</v>
      </c>
      <c r="O62" s="14">
        <f t="shared" ref="O62:O66" si="21">L62-K62</f>
        <v>157.90999999999997</v>
      </c>
      <c r="P62" s="14">
        <f t="shared" ref="P62:P66" si="22">M62-K62</f>
        <v>32.38000000000001</v>
      </c>
      <c r="Q62" s="14">
        <f t="shared" ref="Q62:Q66" si="23">N62-K62</f>
        <v>4.5400000000000063</v>
      </c>
      <c r="R62" s="9">
        <f t="shared" si="3"/>
        <v>79.4946488506111</v>
      </c>
      <c r="S62" s="9">
        <f>Q62*100/P62</f>
        <v>14.021000617665241</v>
      </c>
      <c r="T62" s="9">
        <f>(P62-Q62)*100/P62</f>
        <v>85.978999382334763</v>
      </c>
    </row>
    <row r="63" spans="1:20" x14ac:dyDescent="0.25">
      <c r="A63" s="4">
        <v>60</v>
      </c>
      <c r="B63" s="4" t="s">
        <v>129</v>
      </c>
      <c r="C63" s="4" t="s">
        <v>65</v>
      </c>
      <c r="D63" s="4">
        <v>13</v>
      </c>
      <c r="E63" s="4">
        <v>5</v>
      </c>
      <c r="F63" s="4">
        <v>2</v>
      </c>
      <c r="G63" s="5">
        <v>6.15</v>
      </c>
      <c r="H63" s="16" t="s">
        <v>366</v>
      </c>
      <c r="I63" s="16">
        <v>197.3</v>
      </c>
      <c r="J63" s="14">
        <v>48</v>
      </c>
      <c r="K63" s="14">
        <v>111.17</v>
      </c>
      <c r="L63" s="14">
        <v>273.39999999999998</v>
      </c>
      <c r="M63" s="18">
        <v>147.44</v>
      </c>
      <c r="N63" s="14">
        <v>118.28</v>
      </c>
      <c r="O63" s="14">
        <f t="shared" si="21"/>
        <v>162.22999999999996</v>
      </c>
      <c r="P63" s="14">
        <f t="shared" si="22"/>
        <v>36.269999999999996</v>
      </c>
      <c r="Q63" s="14">
        <f t="shared" si="23"/>
        <v>7.1099999999999994</v>
      </c>
      <c r="R63" s="9">
        <f t="shared" si="3"/>
        <v>77.642852739937126</v>
      </c>
      <c r="S63" s="9">
        <f>Q63*100/P63</f>
        <v>19.6029776674938</v>
      </c>
      <c r="T63" s="9">
        <f>(P63-Q63)*100/P63</f>
        <v>80.397022332506197</v>
      </c>
    </row>
    <row r="64" spans="1:20" x14ac:dyDescent="0.25">
      <c r="A64" s="4">
        <v>61</v>
      </c>
      <c r="B64" s="4" t="s">
        <v>131</v>
      </c>
      <c r="C64" s="4" t="s">
        <v>65</v>
      </c>
      <c r="D64" s="4">
        <v>13</v>
      </c>
      <c r="E64" s="4">
        <v>5</v>
      </c>
      <c r="F64" s="4">
        <v>3</v>
      </c>
      <c r="G64" s="5">
        <v>5.45</v>
      </c>
      <c r="H64" s="16" t="s">
        <v>367</v>
      </c>
      <c r="I64" s="16">
        <v>197</v>
      </c>
      <c r="J64" s="14">
        <v>64</v>
      </c>
      <c r="K64" s="14">
        <v>109.46</v>
      </c>
      <c r="L64" s="14">
        <v>238.29</v>
      </c>
      <c r="M64" s="18">
        <v>139.63</v>
      </c>
      <c r="N64" s="14">
        <v>115.15</v>
      </c>
      <c r="O64" s="14">
        <f t="shared" si="21"/>
        <v>128.82999999999998</v>
      </c>
      <c r="P64" s="14">
        <f t="shared" si="22"/>
        <v>30.17</v>
      </c>
      <c r="Q64" s="14">
        <f t="shared" si="23"/>
        <v>5.6900000000000119</v>
      </c>
      <c r="R64" s="9">
        <f t="shared" si="3"/>
        <v>76.581541566405335</v>
      </c>
      <c r="S64" s="9">
        <f>Q64*100/P64</f>
        <v>18.859794497845577</v>
      </c>
      <c r="T64" s="9">
        <f>(P64-Q64)*100/P64</f>
        <v>81.14020550215443</v>
      </c>
    </row>
    <row r="65" spans="1:20" x14ac:dyDescent="0.25">
      <c r="A65" s="4">
        <v>62</v>
      </c>
      <c r="B65" s="4" t="s">
        <v>133</v>
      </c>
      <c r="C65" s="4" t="s">
        <v>65</v>
      </c>
      <c r="D65" s="4">
        <v>13</v>
      </c>
      <c r="E65" s="4">
        <v>5</v>
      </c>
      <c r="F65" s="4">
        <v>4</v>
      </c>
      <c r="G65" s="5">
        <v>7.75</v>
      </c>
      <c r="H65" s="16" t="s">
        <v>368</v>
      </c>
      <c r="I65" s="16">
        <v>220.3</v>
      </c>
      <c r="J65" s="14">
        <v>68</v>
      </c>
      <c r="K65" s="14">
        <v>122.96</v>
      </c>
      <c r="L65" s="14">
        <v>303.44</v>
      </c>
      <c r="M65" s="18">
        <v>167.79</v>
      </c>
      <c r="N65" s="14">
        <v>138.59</v>
      </c>
      <c r="O65" s="14">
        <f t="shared" si="21"/>
        <v>180.48000000000002</v>
      </c>
      <c r="P65" s="14">
        <f t="shared" si="22"/>
        <v>44.83</v>
      </c>
      <c r="Q65" s="14">
        <f t="shared" si="23"/>
        <v>15.63000000000001</v>
      </c>
      <c r="R65" s="9">
        <f t="shared" si="3"/>
        <v>75.160682624113491</v>
      </c>
      <c r="S65" s="9">
        <f>Q65*100/P65</f>
        <v>34.86504572830696</v>
      </c>
      <c r="T65" s="9">
        <f>(P65-Q65)*100/P65</f>
        <v>65.134954271693047</v>
      </c>
    </row>
    <row r="66" spans="1:20" x14ac:dyDescent="0.25">
      <c r="A66" s="4">
        <v>63</v>
      </c>
      <c r="B66" s="4" t="s">
        <v>135</v>
      </c>
      <c r="C66" s="4" t="s">
        <v>65</v>
      </c>
      <c r="D66" s="4">
        <v>13</v>
      </c>
      <c r="E66" s="4">
        <v>5</v>
      </c>
      <c r="F66" s="4">
        <v>5</v>
      </c>
      <c r="G66" s="5">
        <v>6.55</v>
      </c>
      <c r="H66" s="16" t="s">
        <v>369</v>
      </c>
      <c r="I66" s="16">
        <v>205.2</v>
      </c>
      <c r="J66" s="14">
        <v>69</v>
      </c>
      <c r="K66" s="14">
        <v>119.22</v>
      </c>
      <c r="L66" s="14">
        <v>309.58</v>
      </c>
      <c r="M66" s="18">
        <v>155.4</v>
      </c>
      <c r="N66" s="14">
        <v>127.83</v>
      </c>
      <c r="O66" s="14">
        <f t="shared" si="21"/>
        <v>190.35999999999999</v>
      </c>
      <c r="P66" s="14">
        <f t="shared" si="22"/>
        <v>36.180000000000007</v>
      </c>
      <c r="Q66" s="14">
        <f t="shared" si="23"/>
        <v>8.61</v>
      </c>
      <c r="R66" s="9">
        <f t="shared" si="3"/>
        <v>80.993906282832526</v>
      </c>
      <c r="S66" s="9">
        <f>Q66*100/P66</f>
        <v>23.79767827529021</v>
      </c>
      <c r="T66" s="9">
        <f>(P66-Q66)*100/P66</f>
        <v>76.20232172470979</v>
      </c>
    </row>
    <row r="67" spans="1:20" x14ac:dyDescent="0.25">
      <c r="A67" s="4">
        <v>64</v>
      </c>
      <c r="B67" s="7" t="s">
        <v>137</v>
      </c>
      <c r="C67" s="7" t="s">
        <v>65</v>
      </c>
      <c r="D67" s="7">
        <v>13</v>
      </c>
      <c r="E67" s="7">
        <v>5</v>
      </c>
      <c r="F67" s="7">
        <v>6</v>
      </c>
      <c r="G67" s="8">
        <v>5.0999999999999996</v>
      </c>
      <c r="H67" s="16" t="s">
        <v>401</v>
      </c>
      <c r="I67" s="16">
        <v>215.6</v>
      </c>
      <c r="R67" s="9"/>
      <c r="S67" s="9"/>
      <c r="T67" s="9"/>
    </row>
    <row r="68" spans="1:20" x14ac:dyDescent="0.25">
      <c r="A68" s="4">
        <v>65</v>
      </c>
      <c r="B68" s="7" t="s">
        <v>139</v>
      </c>
      <c r="C68" s="7" t="s">
        <v>65</v>
      </c>
      <c r="D68" s="7">
        <v>13</v>
      </c>
      <c r="E68" s="7">
        <v>5</v>
      </c>
      <c r="F68" s="7">
        <v>7</v>
      </c>
      <c r="G68" s="8">
        <v>4.5999999999999996</v>
      </c>
      <c r="H68" s="16" t="s">
        <v>402</v>
      </c>
      <c r="I68" s="16">
        <v>222.5</v>
      </c>
      <c r="R68" s="9"/>
      <c r="S68" s="9"/>
      <c r="T68" s="9"/>
    </row>
    <row r="69" spans="1:20" x14ac:dyDescent="0.25">
      <c r="A69" s="4">
        <v>66</v>
      </c>
      <c r="B69" s="4" t="s">
        <v>141</v>
      </c>
      <c r="C69" s="4" t="s">
        <v>65</v>
      </c>
      <c r="D69" s="4">
        <v>13</v>
      </c>
      <c r="E69" s="4">
        <v>2</v>
      </c>
      <c r="F69" s="4">
        <v>1</v>
      </c>
      <c r="G69" s="5">
        <v>5.2</v>
      </c>
      <c r="H69" s="16" t="s">
        <v>370</v>
      </c>
      <c r="I69" s="16">
        <v>198.1</v>
      </c>
      <c r="J69" s="14">
        <v>37</v>
      </c>
      <c r="K69" s="14">
        <v>119.44</v>
      </c>
      <c r="L69" s="14">
        <v>264.45</v>
      </c>
      <c r="M69" s="18">
        <v>148.86000000000001</v>
      </c>
      <c r="N69" s="14">
        <v>123.81</v>
      </c>
      <c r="O69" s="14">
        <f t="shared" ref="O69:O73" si="24">L69-K69</f>
        <v>145.01</v>
      </c>
      <c r="P69" s="14">
        <f t="shared" ref="P69:P73" si="25">M69-K69</f>
        <v>29.420000000000016</v>
      </c>
      <c r="Q69" s="14">
        <f t="shared" ref="Q69:Q73" si="26">N69-K69</f>
        <v>4.3700000000000045</v>
      </c>
      <c r="R69" s="9">
        <f t="shared" ref="R69:R97" si="27">(O69-P69)*100/O69</f>
        <v>79.711744017653942</v>
      </c>
      <c r="S69" s="9">
        <f>Q69*100/P69</f>
        <v>14.853840924541135</v>
      </c>
      <c r="T69" s="9">
        <f>(P69-Q69)*100/P69</f>
        <v>85.146159075458854</v>
      </c>
    </row>
    <row r="70" spans="1:20" x14ac:dyDescent="0.25">
      <c r="A70" s="4">
        <v>67</v>
      </c>
      <c r="B70" s="4" t="s">
        <v>143</v>
      </c>
      <c r="C70" s="4" t="s">
        <v>65</v>
      </c>
      <c r="D70" s="4">
        <v>13</v>
      </c>
      <c r="E70" s="4">
        <v>2</v>
      </c>
      <c r="F70" s="4">
        <v>2</v>
      </c>
      <c r="G70" s="5">
        <v>9.6999999999999993</v>
      </c>
      <c r="H70" s="16" t="s">
        <v>371</v>
      </c>
      <c r="I70" s="16">
        <v>228.5</v>
      </c>
      <c r="J70" s="14">
        <v>12</v>
      </c>
      <c r="K70" s="14">
        <v>114.94</v>
      </c>
      <c r="L70" s="14">
        <v>261.58</v>
      </c>
      <c r="M70" s="18">
        <v>150.05000000000001</v>
      </c>
      <c r="N70" s="14">
        <v>126.23</v>
      </c>
      <c r="O70" s="14">
        <f t="shared" si="24"/>
        <v>146.63999999999999</v>
      </c>
      <c r="P70" s="14">
        <f t="shared" si="25"/>
        <v>35.110000000000014</v>
      </c>
      <c r="Q70" s="14">
        <f t="shared" si="26"/>
        <v>11.290000000000006</v>
      </c>
      <c r="R70" s="9">
        <f t="shared" si="27"/>
        <v>76.057010365520981</v>
      </c>
      <c r="S70" s="9">
        <f>Q70*100/P70</f>
        <v>32.156080888635721</v>
      </c>
      <c r="T70" s="9">
        <f>(P70-Q70)*100/P70</f>
        <v>67.843919111364286</v>
      </c>
    </row>
    <row r="71" spans="1:20" x14ac:dyDescent="0.25">
      <c r="A71" s="4">
        <v>68</v>
      </c>
      <c r="B71" s="4" t="s">
        <v>145</v>
      </c>
      <c r="C71" s="4" t="s">
        <v>65</v>
      </c>
      <c r="D71" s="4">
        <v>13</v>
      </c>
      <c r="E71" s="4">
        <v>2</v>
      </c>
      <c r="F71" s="4">
        <v>3</v>
      </c>
      <c r="G71" s="5">
        <v>5.0999999999999996</v>
      </c>
      <c r="H71" s="16" t="s">
        <v>372</v>
      </c>
      <c r="I71" s="16">
        <v>204.7</v>
      </c>
      <c r="J71" s="14">
        <v>62</v>
      </c>
      <c r="K71" s="14">
        <v>104.29</v>
      </c>
      <c r="L71" s="14">
        <v>288.70999999999998</v>
      </c>
      <c r="M71" s="18">
        <v>141.97</v>
      </c>
      <c r="N71" s="14">
        <v>109.87</v>
      </c>
      <c r="O71" s="14">
        <f t="shared" si="24"/>
        <v>184.41999999999996</v>
      </c>
      <c r="P71" s="14">
        <f t="shared" si="25"/>
        <v>37.679999999999993</v>
      </c>
      <c r="Q71" s="14">
        <f t="shared" si="26"/>
        <v>5.5799999999999983</v>
      </c>
      <c r="R71" s="9">
        <f t="shared" si="27"/>
        <v>79.568376531829514</v>
      </c>
      <c r="S71" s="9">
        <f>Q71*100/P71</f>
        <v>14.808917197452226</v>
      </c>
      <c r="T71" s="9">
        <f>(P71-Q71)*100/P71</f>
        <v>85.191082802547768</v>
      </c>
    </row>
    <row r="72" spans="1:20" x14ac:dyDescent="0.25">
      <c r="A72" s="4">
        <v>69</v>
      </c>
      <c r="B72" s="4" t="s">
        <v>147</v>
      </c>
      <c r="C72" s="4" t="s">
        <v>65</v>
      </c>
      <c r="D72" s="4">
        <v>13</v>
      </c>
      <c r="E72" s="4">
        <v>2</v>
      </c>
      <c r="F72" s="4">
        <v>4</v>
      </c>
      <c r="G72" s="5">
        <v>5.7</v>
      </c>
      <c r="H72" s="16" t="s">
        <v>373</v>
      </c>
      <c r="I72" s="16">
        <v>204</v>
      </c>
      <c r="J72" s="14">
        <v>67</v>
      </c>
      <c r="K72" s="14">
        <v>127.82</v>
      </c>
      <c r="L72" s="14">
        <v>323.94</v>
      </c>
      <c r="M72" s="18">
        <v>166.23</v>
      </c>
      <c r="N72" s="14">
        <v>133.82</v>
      </c>
      <c r="O72" s="14">
        <f t="shared" si="24"/>
        <v>196.12</v>
      </c>
      <c r="P72" s="14">
        <f t="shared" si="25"/>
        <v>38.409999999999997</v>
      </c>
      <c r="Q72" s="14">
        <f t="shared" si="26"/>
        <v>6</v>
      </c>
      <c r="R72" s="9">
        <f t="shared" si="27"/>
        <v>80.415052008974101</v>
      </c>
      <c r="S72" s="9">
        <f>Q72*100/P72</f>
        <v>15.620932048945589</v>
      </c>
      <c r="T72" s="9">
        <f>(P72-Q72)*100/P72</f>
        <v>84.379067951054409</v>
      </c>
    </row>
    <row r="73" spans="1:20" x14ac:dyDescent="0.25">
      <c r="A73" s="4">
        <v>70</v>
      </c>
      <c r="B73" s="4" t="s">
        <v>149</v>
      </c>
      <c r="C73" s="4" t="s">
        <v>65</v>
      </c>
      <c r="D73" s="4">
        <v>13</v>
      </c>
      <c r="E73" s="4">
        <v>2</v>
      </c>
      <c r="F73" s="4">
        <v>5</v>
      </c>
      <c r="G73" s="5">
        <v>5.8</v>
      </c>
      <c r="H73" s="16" t="s">
        <v>374</v>
      </c>
      <c r="I73" s="16">
        <v>226.8</v>
      </c>
      <c r="J73" s="14">
        <v>18</v>
      </c>
      <c r="K73" s="14">
        <v>126.03</v>
      </c>
      <c r="L73" s="14">
        <v>304.17</v>
      </c>
      <c r="M73" s="18">
        <v>155.52000000000001</v>
      </c>
      <c r="N73" s="14">
        <v>131.63999999999999</v>
      </c>
      <c r="O73" s="14">
        <f t="shared" si="24"/>
        <v>178.14000000000001</v>
      </c>
      <c r="P73" s="14">
        <f t="shared" si="25"/>
        <v>29.490000000000009</v>
      </c>
      <c r="Q73" s="14">
        <f t="shared" si="26"/>
        <v>5.6099999999999852</v>
      </c>
      <c r="R73" s="9">
        <f t="shared" si="27"/>
        <v>83.445604580666881</v>
      </c>
      <c r="S73" s="9">
        <f>Q73*100/P73</f>
        <v>19.023397761953149</v>
      </c>
      <c r="T73" s="9">
        <f>(P73-Q73)*100/P73</f>
        <v>80.976602238046851</v>
      </c>
    </row>
    <row r="74" spans="1:20" x14ac:dyDescent="0.25">
      <c r="A74" s="4">
        <v>71</v>
      </c>
      <c r="B74" s="7" t="s">
        <v>151</v>
      </c>
      <c r="C74" s="7" t="s">
        <v>65</v>
      </c>
      <c r="D74" s="7">
        <v>13</v>
      </c>
      <c r="E74" s="7">
        <v>2</v>
      </c>
      <c r="F74" s="7">
        <v>6</v>
      </c>
      <c r="G74" s="8">
        <v>6.3</v>
      </c>
      <c r="H74" s="16" t="s">
        <v>403</v>
      </c>
      <c r="I74" s="16">
        <v>237.5</v>
      </c>
      <c r="R74" s="9"/>
      <c r="S74" s="9"/>
      <c r="T74" s="9"/>
    </row>
    <row r="75" spans="1:20" x14ac:dyDescent="0.25">
      <c r="A75" s="4">
        <v>72</v>
      </c>
      <c r="B75" s="7" t="s">
        <v>153</v>
      </c>
      <c r="C75" s="7" t="s">
        <v>65</v>
      </c>
      <c r="D75" s="7">
        <v>13</v>
      </c>
      <c r="E75" s="7">
        <v>2</v>
      </c>
      <c r="F75" s="7">
        <v>7</v>
      </c>
      <c r="G75" s="8">
        <v>6.25</v>
      </c>
      <c r="H75" s="16" t="s">
        <v>404</v>
      </c>
      <c r="I75" s="16">
        <v>213.7</v>
      </c>
      <c r="R75" s="9"/>
      <c r="S75" s="9"/>
      <c r="T75" s="9"/>
    </row>
    <row r="76" spans="1:20" x14ac:dyDescent="0.25">
      <c r="A76" s="4">
        <v>73</v>
      </c>
      <c r="B76" s="7" t="s">
        <v>155</v>
      </c>
      <c r="C76" s="7" t="s">
        <v>65</v>
      </c>
      <c r="D76" s="7">
        <v>13</v>
      </c>
      <c r="E76" s="7">
        <v>2</v>
      </c>
      <c r="F76" s="7">
        <v>8</v>
      </c>
      <c r="G76" s="8">
        <v>8.5500000000000007</v>
      </c>
      <c r="H76" s="16" t="s">
        <v>405</v>
      </c>
      <c r="I76" s="16">
        <v>203.9</v>
      </c>
      <c r="R76" s="9"/>
      <c r="S76" s="9"/>
      <c r="T76" s="9"/>
    </row>
    <row r="77" spans="1:20" x14ac:dyDescent="0.25">
      <c r="A77" s="4">
        <v>74</v>
      </c>
      <c r="B77" s="4" t="s">
        <v>157</v>
      </c>
      <c r="C77" s="4" t="s">
        <v>65</v>
      </c>
      <c r="D77" s="4">
        <v>54</v>
      </c>
      <c r="E77" s="4">
        <v>9</v>
      </c>
      <c r="F77" s="4">
        <v>1</v>
      </c>
      <c r="G77" s="5">
        <v>6.3</v>
      </c>
      <c r="H77" s="16" t="s">
        <v>375</v>
      </c>
      <c r="I77" s="16">
        <v>212.8</v>
      </c>
      <c r="J77" s="14">
        <v>3</v>
      </c>
      <c r="K77" s="14">
        <v>135.47</v>
      </c>
      <c r="L77" s="14">
        <v>214.54</v>
      </c>
      <c r="M77" s="18">
        <v>152.37</v>
      </c>
      <c r="N77" s="14">
        <v>138.09</v>
      </c>
      <c r="O77" s="14">
        <f t="shared" ref="O77:O81" si="28">L77-K77</f>
        <v>79.069999999999993</v>
      </c>
      <c r="P77" s="14">
        <f t="shared" ref="P77:P81" si="29">M77-K77</f>
        <v>16.900000000000006</v>
      </c>
      <c r="Q77" s="14">
        <f t="shared" ref="Q77:Q81" si="30">N77-K77</f>
        <v>2.6200000000000045</v>
      </c>
      <c r="R77" s="9">
        <f t="shared" si="27"/>
        <v>78.626533451372197</v>
      </c>
      <c r="S77" s="9">
        <f>Q77*100/P77</f>
        <v>15.502958579881678</v>
      </c>
      <c r="T77" s="9">
        <f>(P77-Q77)*100/P77</f>
        <v>84.497041420118322</v>
      </c>
    </row>
    <row r="78" spans="1:20" x14ac:dyDescent="0.25">
      <c r="A78" s="4">
        <v>75</v>
      </c>
      <c r="B78" s="4" t="s">
        <v>159</v>
      </c>
      <c r="C78" s="4" t="s">
        <v>65</v>
      </c>
      <c r="D78" s="4">
        <v>54</v>
      </c>
      <c r="E78" s="4">
        <v>9</v>
      </c>
      <c r="F78" s="4">
        <v>2</v>
      </c>
      <c r="G78" s="5">
        <v>7.25</v>
      </c>
      <c r="H78" s="16" t="s">
        <v>376</v>
      </c>
      <c r="I78" s="16">
        <v>243.5</v>
      </c>
      <c r="J78" s="14">
        <v>54</v>
      </c>
      <c r="K78" s="14">
        <v>116.88</v>
      </c>
      <c r="L78" s="14">
        <v>302.69</v>
      </c>
      <c r="M78" s="18">
        <v>159.63</v>
      </c>
      <c r="N78" s="14">
        <v>125.56</v>
      </c>
      <c r="O78" s="14">
        <f t="shared" si="28"/>
        <v>185.81</v>
      </c>
      <c r="P78" s="14">
        <f t="shared" si="29"/>
        <v>42.75</v>
      </c>
      <c r="Q78" s="14">
        <f t="shared" si="30"/>
        <v>8.6800000000000068</v>
      </c>
      <c r="R78" s="9">
        <f t="shared" si="27"/>
        <v>76.992626876917285</v>
      </c>
      <c r="S78" s="9">
        <f>Q78*100/P78</f>
        <v>20.304093567251478</v>
      </c>
      <c r="T78" s="9">
        <f>(P78-Q78)*100/P78</f>
        <v>79.695906432748515</v>
      </c>
    </row>
    <row r="79" spans="1:20" x14ac:dyDescent="0.25">
      <c r="A79" s="4">
        <v>76</v>
      </c>
      <c r="B79" s="4" t="s">
        <v>161</v>
      </c>
      <c r="C79" s="4" t="s">
        <v>65</v>
      </c>
      <c r="D79" s="4">
        <v>54</v>
      </c>
      <c r="E79" s="4">
        <v>9</v>
      </c>
      <c r="F79" s="4">
        <v>3</v>
      </c>
      <c r="G79" s="5">
        <v>10.75</v>
      </c>
      <c r="H79" s="16" t="s">
        <v>377</v>
      </c>
      <c r="I79" s="16">
        <v>217.2</v>
      </c>
      <c r="J79" s="14">
        <v>59</v>
      </c>
      <c r="K79" s="14">
        <v>146.94999999999999</v>
      </c>
      <c r="L79" s="14">
        <v>310.83999999999997</v>
      </c>
      <c r="M79" s="18">
        <v>201.76</v>
      </c>
      <c r="N79" s="14">
        <v>175.36</v>
      </c>
      <c r="O79" s="14">
        <f t="shared" si="28"/>
        <v>163.89</v>
      </c>
      <c r="P79" s="14">
        <f t="shared" si="29"/>
        <v>54.81</v>
      </c>
      <c r="Q79" s="14">
        <f t="shared" si="30"/>
        <v>28.410000000000025</v>
      </c>
      <c r="R79" s="9">
        <f t="shared" si="27"/>
        <v>66.556836902800654</v>
      </c>
      <c r="S79" s="9">
        <f>Q79*100/P79</f>
        <v>51.833607006020848</v>
      </c>
      <c r="T79" s="9">
        <f>(P79-Q79)*100/P79</f>
        <v>48.166392993979159</v>
      </c>
    </row>
    <row r="80" spans="1:20" x14ac:dyDescent="0.25">
      <c r="A80" s="4">
        <v>77</v>
      </c>
      <c r="B80" s="4" t="s">
        <v>163</v>
      </c>
      <c r="C80" s="4" t="s">
        <v>65</v>
      </c>
      <c r="D80" s="4">
        <v>54</v>
      </c>
      <c r="E80" s="4">
        <v>9</v>
      </c>
      <c r="F80" s="4">
        <v>4</v>
      </c>
      <c r="G80" s="5">
        <v>10</v>
      </c>
      <c r="H80" s="16" t="s">
        <v>378</v>
      </c>
      <c r="I80" s="16">
        <v>225.5</v>
      </c>
      <c r="J80" s="14">
        <v>31</v>
      </c>
      <c r="K80" s="14">
        <v>117.14</v>
      </c>
      <c r="L80" s="14">
        <v>294.52</v>
      </c>
      <c r="M80" s="18">
        <v>157.04</v>
      </c>
      <c r="N80" s="14">
        <v>123.64</v>
      </c>
      <c r="O80" s="14">
        <f t="shared" si="28"/>
        <v>177.38</v>
      </c>
      <c r="P80" s="14">
        <f t="shared" si="29"/>
        <v>39.899999999999991</v>
      </c>
      <c r="Q80" s="14">
        <f t="shared" si="30"/>
        <v>6.5</v>
      </c>
      <c r="R80" s="9">
        <f t="shared" si="27"/>
        <v>77.505919494869786</v>
      </c>
      <c r="S80" s="9">
        <f>Q80*100/P80</f>
        <v>16.290726817042611</v>
      </c>
      <c r="T80" s="9">
        <f>(P80-Q80)*100/P80</f>
        <v>83.709273182957389</v>
      </c>
    </row>
    <row r="81" spans="1:20" x14ac:dyDescent="0.25">
      <c r="A81" s="4">
        <v>78</v>
      </c>
      <c r="B81" s="4" t="s">
        <v>165</v>
      </c>
      <c r="C81" s="4" t="s">
        <v>65</v>
      </c>
      <c r="D81" s="4">
        <v>54</v>
      </c>
      <c r="E81" s="4">
        <v>9</v>
      </c>
      <c r="F81" s="4">
        <v>5</v>
      </c>
      <c r="G81" s="5">
        <v>8.25</v>
      </c>
      <c r="H81" s="16" t="s">
        <v>379</v>
      </c>
      <c r="I81" s="16">
        <v>223.8</v>
      </c>
      <c r="J81" s="14">
        <v>40</v>
      </c>
      <c r="K81" s="14">
        <v>111.69</v>
      </c>
      <c r="L81" s="14">
        <v>287.13</v>
      </c>
      <c r="M81" s="18">
        <v>155.15</v>
      </c>
      <c r="N81" s="14">
        <v>120.34</v>
      </c>
      <c r="O81" s="14">
        <f t="shared" si="28"/>
        <v>175.44</v>
      </c>
      <c r="P81" s="14">
        <f t="shared" si="29"/>
        <v>43.460000000000008</v>
      </c>
      <c r="Q81" s="14">
        <f t="shared" si="30"/>
        <v>8.6500000000000057</v>
      </c>
      <c r="R81" s="9">
        <f t="shared" si="27"/>
        <v>75.22799817601458</v>
      </c>
      <c r="S81" s="9">
        <f>Q81*100/P81</f>
        <v>19.903359410952611</v>
      </c>
      <c r="T81" s="9">
        <f>(P81-Q81)*100/P81</f>
        <v>80.096640589047382</v>
      </c>
    </row>
    <row r="82" spans="1:20" x14ac:dyDescent="0.25">
      <c r="A82" s="4">
        <v>79</v>
      </c>
      <c r="B82" s="7" t="s">
        <v>167</v>
      </c>
      <c r="C82" s="7" t="s">
        <v>65</v>
      </c>
      <c r="D82" s="7">
        <v>54</v>
      </c>
      <c r="E82" s="7">
        <v>9</v>
      </c>
      <c r="F82" s="7">
        <v>6</v>
      </c>
      <c r="G82" s="8">
        <v>6.35</v>
      </c>
      <c r="H82" s="16" t="s">
        <v>406</v>
      </c>
      <c r="I82" s="16">
        <v>222.7</v>
      </c>
      <c r="R82" s="9"/>
      <c r="S82" s="9"/>
      <c r="T82" s="9"/>
    </row>
    <row r="83" spans="1:20" x14ac:dyDescent="0.25">
      <c r="A83" s="4">
        <v>80</v>
      </c>
      <c r="B83" s="7" t="s">
        <v>169</v>
      </c>
      <c r="C83" s="7" t="s">
        <v>65</v>
      </c>
      <c r="D83" s="7">
        <v>54</v>
      </c>
      <c r="E83" s="7">
        <v>9</v>
      </c>
      <c r="F83" s="7">
        <v>7</v>
      </c>
      <c r="G83" s="8">
        <v>4.7</v>
      </c>
      <c r="H83" s="16" t="s">
        <v>407</v>
      </c>
      <c r="I83" s="16">
        <v>201.4</v>
      </c>
      <c r="R83" s="9"/>
      <c r="S83" s="9"/>
      <c r="T83" s="9"/>
    </row>
    <row r="84" spans="1:20" x14ac:dyDescent="0.25">
      <c r="A84" s="4">
        <v>81</v>
      </c>
      <c r="B84" s="7" t="s">
        <v>171</v>
      </c>
      <c r="C84" s="7" t="s">
        <v>65</v>
      </c>
      <c r="D84" s="7">
        <v>54</v>
      </c>
      <c r="E84" s="7">
        <v>9</v>
      </c>
      <c r="F84" s="7">
        <v>8</v>
      </c>
      <c r="G84" s="8">
        <v>6.6</v>
      </c>
      <c r="H84" s="16" t="s">
        <v>408</v>
      </c>
      <c r="I84" s="16">
        <v>210.4</v>
      </c>
      <c r="R84" s="9"/>
      <c r="S84" s="9"/>
      <c r="T84" s="9"/>
    </row>
    <row r="85" spans="1:20" x14ac:dyDescent="0.25">
      <c r="A85" s="4">
        <v>82</v>
      </c>
      <c r="B85" s="4" t="s">
        <v>173</v>
      </c>
      <c r="C85" s="4" t="s">
        <v>65</v>
      </c>
      <c r="D85" s="4">
        <v>54</v>
      </c>
      <c r="E85" s="4">
        <v>6</v>
      </c>
      <c r="F85" s="4">
        <v>1</v>
      </c>
      <c r="G85" s="5">
        <v>5.9</v>
      </c>
      <c r="H85" s="16" t="s">
        <v>380</v>
      </c>
      <c r="I85" s="16">
        <v>205.3</v>
      </c>
      <c r="J85" s="14">
        <v>2</v>
      </c>
      <c r="K85" s="14">
        <v>114.9</v>
      </c>
      <c r="L85" s="14">
        <v>209.3</v>
      </c>
      <c r="M85" s="18">
        <v>134.28</v>
      </c>
      <c r="N85" s="14">
        <v>117.91</v>
      </c>
      <c r="O85" s="14">
        <f t="shared" ref="O85:O89" si="31">L85-K85</f>
        <v>94.4</v>
      </c>
      <c r="P85" s="14">
        <f t="shared" ref="P85:P89" si="32">M85-K85</f>
        <v>19.379999999999995</v>
      </c>
      <c r="Q85" s="14">
        <f t="shared" ref="Q85:Q89" si="33">N85-K85</f>
        <v>3.0099999999999909</v>
      </c>
      <c r="R85" s="9">
        <f t="shared" si="27"/>
        <v>79.470338983050851</v>
      </c>
      <c r="S85" s="9">
        <f>Q85*100/P85</f>
        <v>15.531475748193971</v>
      </c>
      <c r="T85" s="9">
        <f>(P85-Q85)*100/P85</f>
        <v>84.468524251806031</v>
      </c>
    </row>
    <row r="86" spans="1:20" x14ac:dyDescent="0.25">
      <c r="A86" s="4">
        <v>83</v>
      </c>
      <c r="B86" s="4" t="s">
        <v>175</v>
      </c>
      <c r="C86" s="4" t="s">
        <v>65</v>
      </c>
      <c r="D86" s="4">
        <v>54</v>
      </c>
      <c r="E86" s="4">
        <v>6</v>
      </c>
      <c r="F86" s="4">
        <v>2</v>
      </c>
      <c r="G86" s="5">
        <v>7.45</v>
      </c>
      <c r="H86" s="16" t="s">
        <v>381</v>
      </c>
      <c r="I86" s="16">
        <v>212.5</v>
      </c>
      <c r="J86" s="14">
        <v>61</v>
      </c>
      <c r="K86" s="14">
        <v>114.8</v>
      </c>
      <c r="L86" s="14">
        <v>293.86</v>
      </c>
      <c r="M86" s="18">
        <v>151.22999999999999</v>
      </c>
      <c r="N86" s="14">
        <v>121.32</v>
      </c>
      <c r="O86" s="14">
        <f t="shared" si="31"/>
        <v>179.06</v>
      </c>
      <c r="P86" s="14">
        <f t="shared" si="32"/>
        <v>36.429999999999993</v>
      </c>
      <c r="Q86" s="14">
        <f t="shared" si="33"/>
        <v>6.519999999999996</v>
      </c>
      <c r="R86" s="9">
        <f t="shared" si="27"/>
        <v>79.654864291299006</v>
      </c>
      <c r="S86" s="9">
        <f>Q86*100/P86</f>
        <v>17.897337359319234</v>
      </c>
      <c r="T86" s="9">
        <f>(P86-Q86)*100/P86</f>
        <v>82.102662640680762</v>
      </c>
    </row>
    <row r="87" spans="1:20" x14ac:dyDescent="0.25">
      <c r="A87" s="4">
        <v>84</v>
      </c>
      <c r="B87" s="4" t="s">
        <v>177</v>
      </c>
      <c r="C87" s="4" t="s">
        <v>65</v>
      </c>
      <c r="D87" s="4">
        <v>54</v>
      </c>
      <c r="E87" s="4">
        <v>6</v>
      </c>
      <c r="F87" s="4">
        <v>3</v>
      </c>
      <c r="G87" s="5">
        <v>6</v>
      </c>
      <c r="H87" s="16" t="s">
        <v>382</v>
      </c>
      <c r="I87" s="16">
        <v>208.1</v>
      </c>
      <c r="J87" s="14">
        <v>63</v>
      </c>
      <c r="K87" s="14">
        <v>127.41</v>
      </c>
      <c r="L87" s="14">
        <v>320.88</v>
      </c>
      <c r="M87" s="18">
        <v>168.1</v>
      </c>
      <c r="N87" s="14">
        <v>133.80000000000001</v>
      </c>
      <c r="O87" s="14">
        <f t="shared" si="31"/>
        <v>193.47</v>
      </c>
      <c r="P87" s="14">
        <f t="shared" si="32"/>
        <v>40.69</v>
      </c>
      <c r="Q87" s="14">
        <f t="shared" si="33"/>
        <v>6.3900000000000148</v>
      </c>
      <c r="R87" s="9">
        <f t="shared" si="27"/>
        <v>78.968315501111277</v>
      </c>
      <c r="S87" s="9">
        <f>Q87*100/P87</f>
        <v>15.704104202506796</v>
      </c>
      <c r="T87" s="9">
        <f>(P87-Q87)*100/P87</f>
        <v>84.295895797493202</v>
      </c>
    </row>
    <row r="88" spans="1:20" x14ac:dyDescent="0.25">
      <c r="A88" s="4">
        <v>85</v>
      </c>
      <c r="B88" s="4" t="s">
        <v>179</v>
      </c>
      <c r="C88" s="4" t="s">
        <v>65</v>
      </c>
      <c r="D88" s="4">
        <v>54</v>
      </c>
      <c r="E88" s="4">
        <v>6</v>
      </c>
      <c r="F88" s="4">
        <v>4</v>
      </c>
      <c r="G88" s="5">
        <v>5.05</v>
      </c>
      <c r="H88" s="16" t="s">
        <v>383</v>
      </c>
      <c r="I88" s="16">
        <v>209.9</v>
      </c>
      <c r="J88" s="14">
        <v>32</v>
      </c>
      <c r="K88" s="14">
        <v>112.47</v>
      </c>
      <c r="L88" s="14">
        <v>281.02</v>
      </c>
      <c r="M88" s="18">
        <v>152.22</v>
      </c>
      <c r="N88" s="14">
        <v>122.18</v>
      </c>
      <c r="O88" s="14">
        <f t="shared" si="31"/>
        <v>168.54999999999998</v>
      </c>
      <c r="P88" s="14">
        <f t="shared" si="32"/>
        <v>39.75</v>
      </c>
      <c r="Q88" s="14">
        <f t="shared" si="33"/>
        <v>9.710000000000008</v>
      </c>
      <c r="R88" s="9">
        <f t="shared" si="27"/>
        <v>76.416493622070604</v>
      </c>
      <c r="S88" s="9">
        <f>Q88*100/P88</f>
        <v>24.427672955974863</v>
      </c>
      <c r="T88" s="9">
        <f>(P88-Q88)*100/P88</f>
        <v>75.57232704402513</v>
      </c>
    </row>
    <row r="89" spans="1:20" x14ac:dyDescent="0.25">
      <c r="A89" s="4">
        <v>86</v>
      </c>
      <c r="B89" s="4" t="s">
        <v>181</v>
      </c>
      <c r="C89" s="4" t="s">
        <v>65</v>
      </c>
      <c r="D89" s="4">
        <v>54</v>
      </c>
      <c r="E89" s="4">
        <v>6</v>
      </c>
      <c r="F89" s="4">
        <v>5</v>
      </c>
      <c r="G89" s="5">
        <v>8.9</v>
      </c>
      <c r="H89" s="16" t="s">
        <v>384</v>
      </c>
      <c r="I89" s="16">
        <v>194.6</v>
      </c>
      <c r="J89" s="14">
        <v>11</v>
      </c>
      <c r="K89" s="14">
        <v>118.48</v>
      </c>
      <c r="L89" s="14">
        <v>250.81</v>
      </c>
      <c r="M89" s="18">
        <v>148.26</v>
      </c>
      <c r="N89" s="14">
        <v>123.21</v>
      </c>
      <c r="O89" s="14">
        <f t="shared" si="31"/>
        <v>132.32999999999998</v>
      </c>
      <c r="P89" s="14">
        <f t="shared" si="32"/>
        <v>29.779999999999987</v>
      </c>
      <c r="Q89" s="14">
        <f t="shared" si="33"/>
        <v>4.7299999999999898</v>
      </c>
      <c r="R89" s="9">
        <f t="shared" si="27"/>
        <v>77.495654802387975</v>
      </c>
      <c r="S89" s="9">
        <f>Q89*100/P89</f>
        <v>15.883143049026165</v>
      </c>
      <c r="T89" s="9">
        <f>(P89-Q89)*100/P89</f>
        <v>84.116856950973826</v>
      </c>
    </row>
    <row r="90" spans="1:20" x14ac:dyDescent="0.25">
      <c r="A90" s="4">
        <v>87</v>
      </c>
      <c r="B90" s="7" t="s">
        <v>183</v>
      </c>
      <c r="C90" s="7" t="s">
        <v>65</v>
      </c>
      <c r="D90" s="7">
        <v>54</v>
      </c>
      <c r="E90" s="7">
        <v>6</v>
      </c>
      <c r="F90" s="7">
        <v>6</v>
      </c>
      <c r="G90" s="8">
        <v>8.6</v>
      </c>
      <c r="H90" s="16" t="s">
        <v>409</v>
      </c>
      <c r="I90" s="16">
        <v>208.4</v>
      </c>
      <c r="R90" s="9"/>
      <c r="S90" s="9"/>
      <c r="T90" s="9"/>
    </row>
    <row r="91" spans="1:20" x14ac:dyDescent="0.25">
      <c r="A91" s="4">
        <v>88</v>
      </c>
      <c r="B91" s="7" t="s">
        <v>185</v>
      </c>
      <c r="C91" s="7" t="s">
        <v>65</v>
      </c>
      <c r="D91" s="7">
        <v>54</v>
      </c>
      <c r="E91" s="7">
        <v>6</v>
      </c>
      <c r="F91" s="7">
        <v>7</v>
      </c>
      <c r="G91" s="8">
        <v>6.7</v>
      </c>
      <c r="H91" s="16" t="s">
        <v>410</v>
      </c>
      <c r="I91" s="16">
        <v>221.9</v>
      </c>
      <c r="R91" s="9"/>
      <c r="S91" s="9"/>
      <c r="T91" s="9"/>
    </row>
    <row r="92" spans="1:20" x14ac:dyDescent="0.25">
      <c r="A92" s="4">
        <v>89</v>
      </c>
      <c r="B92" s="7" t="s">
        <v>187</v>
      </c>
      <c r="C92" s="7" t="s">
        <v>65</v>
      </c>
      <c r="D92" s="7">
        <v>54</v>
      </c>
      <c r="E92" s="7">
        <v>6</v>
      </c>
      <c r="F92" s="7">
        <v>8</v>
      </c>
      <c r="G92" s="8">
        <v>6</v>
      </c>
      <c r="H92" s="16" t="s">
        <v>411</v>
      </c>
      <c r="I92" s="16">
        <v>195.3</v>
      </c>
      <c r="R92" s="9"/>
      <c r="S92" s="9"/>
      <c r="T92" s="9"/>
    </row>
    <row r="93" spans="1:20" x14ac:dyDescent="0.25">
      <c r="A93" s="4">
        <v>90</v>
      </c>
      <c r="B93" s="4" t="s">
        <v>189</v>
      </c>
      <c r="C93" s="4" t="s">
        <v>65</v>
      </c>
      <c r="D93" s="4">
        <v>54</v>
      </c>
      <c r="E93" s="4">
        <v>8</v>
      </c>
      <c r="F93" s="4">
        <v>1</v>
      </c>
      <c r="G93" s="5">
        <v>6.65</v>
      </c>
      <c r="H93" s="16" t="s">
        <v>385</v>
      </c>
      <c r="I93" s="16">
        <v>228.4</v>
      </c>
      <c r="J93" s="14">
        <v>29</v>
      </c>
      <c r="K93" s="14">
        <v>103.01</v>
      </c>
      <c r="L93" s="14">
        <v>294.01</v>
      </c>
      <c r="M93" s="18">
        <v>144.47999999999999</v>
      </c>
      <c r="N93" s="14">
        <v>111.17</v>
      </c>
      <c r="O93" s="14">
        <f t="shared" ref="O93:O97" si="34">L93-K93</f>
        <v>191</v>
      </c>
      <c r="P93" s="14">
        <f t="shared" ref="P93:P97" si="35">M93-K93</f>
        <v>41.469999999999985</v>
      </c>
      <c r="Q93" s="14">
        <f t="shared" ref="Q93:Q97" si="36">N93-K93</f>
        <v>8.1599999999999966</v>
      </c>
      <c r="R93" s="9">
        <f t="shared" si="27"/>
        <v>78.287958115183258</v>
      </c>
      <c r="S93" s="9">
        <f>Q93*100/P93</f>
        <v>19.676874849288641</v>
      </c>
      <c r="T93" s="9">
        <f>(P93-Q93)*100/P93</f>
        <v>80.323125150711348</v>
      </c>
    </row>
    <row r="94" spans="1:20" x14ac:dyDescent="0.25">
      <c r="A94" s="4">
        <v>91</v>
      </c>
      <c r="B94" s="4" t="s">
        <v>191</v>
      </c>
      <c r="C94" s="4" t="s">
        <v>65</v>
      </c>
      <c r="D94" s="4">
        <v>54</v>
      </c>
      <c r="E94" s="4">
        <v>8</v>
      </c>
      <c r="F94" s="4">
        <v>2</v>
      </c>
      <c r="G94" s="5">
        <v>7.55</v>
      </c>
      <c r="H94" s="16" t="s">
        <v>386</v>
      </c>
      <c r="I94" s="16">
        <v>205.1</v>
      </c>
      <c r="J94" s="14">
        <v>60</v>
      </c>
      <c r="K94" s="14">
        <v>121.41</v>
      </c>
      <c r="L94" s="14">
        <v>282.69</v>
      </c>
      <c r="M94" s="18">
        <v>158.04</v>
      </c>
      <c r="N94" s="14">
        <v>128.68</v>
      </c>
      <c r="O94" s="14">
        <f t="shared" si="34"/>
        <v>161.28</v>
      </c>
      <c r="P94" s="14">
        <f t="shared" si="35"/>
        <v>36.629999999999995</v>
      </c>
      <c r="Q94" s="14">
        <f t="shared" si="36"/>
        <v>7.2700000000000102</v>
      </c>
      <c r="R94" s="9">
        <f t="shared" si="27"/>
        <v>77.287946428571431</v>
      </c>
      <c r="S94" s="9">
        <f>Q94*100/P94</f>
        <v>19.847119847119878</v>
      </c>
      <c r="T94" s="9">
        <f>(P94-Q94)*100/P94</f>
        <v>80.15288015288013</v>
      </c>
    </row>
    <row r="95" spans="1:20" x14ac:dyDescent="0.25">
      <c r="A95" s="4">
        <v>92</v>
      </c>
      <c r="B95" s="4" t="s">
        <v>193</v>
      </c>
      <c r="C95" s="4" t="s">
        <v>65</v>
      </c>
      <c r="D95" s="4">
        <v>54</v>
      </c>
      <c r="E95" s="4">
        <v>8</v>
      </c>
      <c r="F95" s="4">
        <v>3</v>
      </c>
      <c r="G95" s="5">
        <v>9.6</v>
      </c>
      <c r="H95" s="16" t="s">
        <v>387</v>
      </c>
      <c r="I95" s="16">
        <v>223.3</v>
      </c>
      <c r="J95" s="14">
        <v>36</v>
      </c>
      <c r="K95" s="14">
        <v>125.06</v>
      </c>
      <c r="L95" s="14">
        <v>320.43</v>
      </c>
      <c r="M95" s="18">
        <v>169.4</v>
      </c>
      <c r="N95" s="14">
        <v>138.85</v>
      </c>
      <c r="O95" s="14">
        <f t="shared" si="34"/>
        <v>195.37</v>
      </c>
      <c r="P95" s="14">
        <f t="shared" si="35"/>
        <v>44.34</v>
      </c>
      <c r="Q95" s="14">
        <f t="shared" si="36"/>
        <v>13.789999999999992</v>
      </c>
      <c r="R95" s="9">
        <f t="shared" si="27"/>
        <v>77.304601525310943</v>
      </c>
      <c r="S95" s="9">
        <f>Q95*100/P95</f>
        <v>31.10058637798825</v>
      </c>
      <c r="T95" s="9">
        <f>(P95-Q95)*100/P95</f>
        <v>68.89941362201175</v>
      </c>
    </row>
    <row r="96" spans="1:20" x14ac:dyDescent="0.25">
      <c r="A96" s="4">
        <v>93</v>
      </c>
      <c r="B96" s="4" t="s">
        <v>195</v>
      </c>
      <c r="C96" s="4" t="s">
        <v>65</v>
      </c>
      <c r="D96" s="4">
        <v>54</v>
      </c>
      <c r="E96" s="4">
        <v>8</v>
      </c>
      <c r="F96" s="4">
        <v>4</v>
      </c>
      <c r="G96" s="5">
        <v>7.3</v>
      </c>
      <c r="H96" s="16" t="s">
        <v>388</v>
      </c>
      <c r="I96" s="16">
        <v>208.7</v>
      </c>
      <c r="J96" s="14">
        <v>66</v>
      </c>
      <c r="K96" s="14">
        <v>109.9</v>
      </c>
      <c r="L96" s="14">
        <v>296.98</v>
      </c>
      <c r="M96" s="18">
        <v>151.38999999999999</v>
      </c>
      <c r="N96" s="14">
        <v>118.3</v>
      </c>
      <c r="O96" s="14">
        <f t="shared" si="34"/>
        <v>187.08</v>
      </c>
      <c r="P96" s="14">
        <f t="shared" si="35"/>
        <v>41.489999999999981</v>
      </c>
      <c r="Q96" s="14">
        <f t="shared" si="36"/>
        <v>8.3999999999999915</v>
      </c>
      <c r="R96" s="9">
        <f t="shared" si="27"/>
        <v>77.822322001282885</v>
      </c>
      <c r="S96" s="9">
        <f>Q96*100/P96</f>
        <v>20.245842371655808</v>
      </c>
      <c r="T96" s="9">
        <f>(P96-Q96)*100/P96</f>
        <v>79.754157628344188</v>
      </c>
    </row>
    <row r="97" spans="1:20" x14ac:dyDescent="0.25">
      <c r="A97" s="4">
        <v>94</v>
      </c>
      <c r="B97" s="4" t="s">
        <v>197</v>
      </c>
      <c r="C97" s="4" t="s">
        <v>65</v>
      </c>
      <c r="D97" s="4">
        <v>54</v>
      </c>
      <c r="E97" s="4">
        <v>8</v>
      </c>
      <c r="F97" s="4">
        <v>5</v>
      </c>
      <c r="G97" s="5">
        <v>6.55</v>
      </c>
      <c r="H97" s="16" t="s">
        <v>389</v>
      </c>
      <c r="I97" s="16">
        <v>206.3</v>
      </c>
      <c r="J97" s="14">
        <v>65</v>
      </c>
      <c r="K97" s="14">
        <v>117.37</v>
      </c>
      <c r="L97" s="14">
        <v>300.26</v>
      </c>
      <c r="M97" s="18">
        <v>167.45</v>
      </c>
      <c r="N97" s="14">
        <v>133.5</v>
      </c>
      <c r="O97" s="14">
        <f t="shared" si="34"/>
        <v>182.89</v>
      </c>
      <c r="P97" s="14">
        <f t="shared" si="35"/>
        <v>50.079999999999984</v>
      </c>
      <c r="Q97" s="14">
        <f t="shared" si="36"/>
        <v>16.129999999999995</v>
      </c>
      <c r="R97" s="9">
        <f t="shared" si="27"/>
        <v>72.61742030728854</v>
      </c>
      <c r="S97" s="9">
        <f>Q97*100/P97</f>
        <v>32.20846645367412</v>
      </c>
      <c r="T97" s="9">
        <f>(P97-Q97)*100/P97</f>
        <v>67.79153354632588</v>
      </c>
    </row>
    <row r="98" spans="1:20" x14ac:dyDescent="0.25">
      <c r="A98" s="4">
        <v>95</v>
      </c>
      <c r="B98" s="7" t="s">
        <v>199</v>
      </c>
      <c r="C98" s="7" t="s">
        <v>65</v>
      </c>
      <c r="D98" s="7">
        <v>54</v>
      </c>
      <c r="E98" s="7">
        <v>8</v>
      </c>
      <c r="F98" s="7">
        <v>6</v>
      </c>
      <c r="G98" s="8">
        <v>6.85</v>
      </c>
      <c r="H98" s="16" t="s">
        <v>412</v>
      </c>
      <c r="I98" s="16">
        <v>214.8</v>
      </c>
    </row>
    <row r="99" spans="1:20" x14ac:dyDescent="0.25">
      <c r="A99" s="4">
        <v>96</v>
      </c>
      <c r="B99" s="7" t="s">
        <v>201</v>
      </c>
      <c r="C99" s="7" t="s">
        <v>65</v>
      </c>
      <c r="D99" s="7">
        <v>54</v>
      </c>
      <c r="E99" s="7">
        <v>8</v>
      </c>
      <c r="F99" s="7">
        <v>7</v>
      </c>
      <c r="G99" s="8">
        <v>8.15</v>
      </c>
      <c r="H99" s="16" t="s">
        <v>413</v>
      </c>
      <c r="I99" s="16">
        <v>224.4</v>
      </c>
    </row>
    <row r="100" spans="1:20" x14ac:dyDescent="0.25">
      <c r="A100" s="4">
        <v>97</v>
      </c>
      <c r="B100" s="7" t="s">
        <v>203</v>
      </c>
      <c r="C100" s="7" t="s">
        <v>65</v>
      </c>
      <c r="D100" s="7">
        <v>54</v>
      </c>
      <c r="E100" s="7">
        <v>8</v>
      </c>
      <c r="F100" s="7">
        <v>8</v>
      </c>
      <c r="G100" s="8">
        <v>6.4</v>
      </c>
      <c r="H100" s="16" t="s">
        <v>414</v>
      </c>
      <c r="I100" s="16">
        <v>200.5</v>
      </c>
    </row>
  </sheetData>
  <mergeCells count="4">
    <mergeCell ref="A1:G2"/>
    <mergeCell ref="H2:I2"/>
    <mergeCell ref="J1:N2"/>
    <mergeCell ref="O1:Q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3394-C190-4F8B-8325-140559123598}">
  <dimension ref="A1:L100"/>
  <sheetViews>
    <sheetView workbookViewId="0">
      <selection activeCell="L34" sqref="L34"/>
    </sheetView>
  </sheetViews>
  <sheetFormatPr defaultRowHeight="15" x14ac:dyDescent="0.25"/>
  <cols>
    <col min="2" max="2" width="15.140625" bestFit="1" customWidth="1"/>
    <col min="4" max="4" width="10.28515625" bestFit="1" customWidth="1"/>
    <col min="7" max="7" width="15.85546875" bestFit="1" customWidth="1"/>
    <col min="8" max="8" width="13.7109375" bestFit="1" customWidth="1"/>
    <col min="9" max="9" width="14.5703125" bestFit="1" customWidth="1"/>
    <col min="10" max="10" width="14.7109375" bestFit="1" customWidth="1"/>
    <col min="11" max="11" width="17" bestFit="1" customWidth="1"/>
    <col min="12" max="12" width="15.28515625" bestFit="1" customWidth="1"/>
  </cols>
  <sheetData>
    <row r="1" spans="1:12" x14ac:dyDescent="0.25">
      <c r="A1" s="27" t="s">
        <v>0</v>
      </c>
      <c r="B1" s="27"/>
      <c r="C1" s="27"/>
      <c r="D1" s="27"/>
      <c r="E1" s="27"/>
      <c r="F1" s="27"/>
      <c r="G1" s="27"/>
    </row>
    <row r="2" spans="1:12" x14ac:dyDescent="0.25">
      <c r="A2" s="27"/>
      <c r="B2" s="27"/>
      <c r="C2" s="27"/>
      <c r="D2" s="27"/>
      <c r="E2" s="27"/>
      <c r="F2" s="27"/>
      <c r="G2" s="27"/>
    </row>
    <row r="3" spans="1:12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315</v>
      </c>
      <c r="G3" s="2" t="s">
        <v>7</v>
      </c>
      <c r="H3" s="11" t="s">
        <v>440</v>
      </c>
      <c r="I3" s="11" t="s">
        <v>439</v>
      </c>
      <c r="J3" s="11" t="s">
        <v>436</v>
      </c>
      <c r="K3" s="11" t="s">
        <v>437</v>
      </c>
      <c r="L3" s="21" t="s">
        <v>438</v>
      </c>
    </row>
    <row r="4" spans="1:12" x14ac:dyDescent="0.25">
      <c r="A4" s="4">
        <v>1</v>
      </c>
      <c r="B4" s="4" t="s">
        <v>8</v>
      </c>
      <c r="C4" s="4" t="s">
        <v>9</v>
      </c>
      <c r="D4" s="4" t="s">
        <v>10</v>
      </c>
      <c r="E4" s="4">
        <v>1</v>
      </c>
      <c r="F4" s="4">
        <v>1</v>
      </c>
      <c r="G4" s="5">
        <v>6.65</v>
      </c>
      <c r="H4">
        <v>21.116883116883134</v>
      </c>
      <c r="I4">
        <v>78.88311688311687</v>
      </c>
      <c r="J4">
        <v>6.8908883176245803</v>
      </c>
      <c r="K4">
        <v>18.829483867688623</v>
      </c>
      <c r="L4" s="9">
        <f>100-(H4+J4+K4)</f>
        <v>53.16274469780366</v>
      </c>
    </row>
    <row r="5" spans="1:12" x14ac:dyDescent="0.25">
      <c r="A5" s="4">
        <v>2</v>
      </c>
      <c r="B5" s="4" t="s">
        <v>12</v>
      </c>
      <c r="C5" s="4" t="s">
        <v>9</v>
      </c>
      <c r="D5" s="4" t="s">
        <v>10</v>
      </c>
      <c r="E5" s="4">
        <v>1</v>
      </c>
      <c r="F5" s="4">
        <v>2</v>
      </c>
      <c r="G5" s="5">
        <v>5.45</v>
      </c>
      <c r="H5">
        <v>25.792402613113918</v>
      </c>
      <c r="I5">
        <v>74.207597386886093</v>
      </c>
      <c r="J5">
        <v>2.9820261437909235</v>
      </c>
      <c r="K5" t="e">
        <v>#VALUE!</v>
      </c>
      <c r="L5" s="9" t="e">
        <f>100-(H5+J5+K5)</f>
        <v>#VALUE!</v>
      </c>
    </row>
    <row r="6" spans="1:12" x14ac:dyDescent="0.25">
      <c r="A6" s="4">
        <v>3</v>
      </c>
      <c r="B6" s="4" t="s">
        <v>14</v>
      </c>
      <c r="C6" s="4" t="s">
        <v>9</v>
      </c>
      <c r="D6" s="4" t="s">
        <v>10</v>
      </c>
      <c r="E6" s="4">
        <v>1</v>
      </c>
      <c r="F6" s="4">
        <v>3</v>
      </c>
      <c r="G6" s="5">
        <v>5.75</v>
      </c>
      <c r="H6">
        <v>31.448412698412721</v>
      </c>
      <c r="I6">
        <v>68.551587301587276</v>
      </c>
      <c r="J6">
        <v>6.2211981566816075</v>
      </c>
      <c r="K6">
        <v>14.384187467930783</v>
      </c>
      <c r="L6" s="9">
        <f>100-(H6+J6+K6)</f>
        <v>47.946201676974894</v>
      </c>
    </row>
    <row r="7" spans="1:12" x14ac:dyDescent="0.25">
      <c r="A7" s="4">
        <v>4</v>
      </c>
      <c r="B7" s="4" t="s">
        <v>16</v>
      </c>
      <c r="C7" s="4" t="s">
        <v>9</v>
      </c>
      <c r="D7" s="4" t="s">
        <v>10</v>
      </c>
      <c r="E7" s="4">
        <v>4</v>
      </c>
      <c r="F7" s="4">
        <v>1</v>
      </c>
      <c r="G7" s="5">
        <v>7.5</v>
      </c>
      <c r="H7">
        <v>17.769230769230742</v>
      </c>
      <c r="I7">
        <v>82.230769230769255</v>
      </c>
      <c r="J7">
        <v>6.4901349948078932</v>
      </c>
      <c r="K7">
        <v>12.826451349778212</v>
      </c>
      <c r="L7" s="9">
        <f t="shared" ref="L7:L66" si="0">100-(H7+J7+K7)</f>
        <v>62.914182886183156</v>
      </c>
    </row>
    <row r="8" spans="1:12" x14ac:dyDescent="0.25">
      <c r="A8" s="4">
        <v>5</v>
      </c>
      <c r="B8" s="4" t="s">
        <v>18</v>
      </c>
      <c r="C8" s="4" t="s">
        <v>9</v>
      </c>
      <c r="D8" s="4" t="s">
        <v>10</v>
      </c>
      <c r="E8" s="4">
        <v>4</v>
      </c>
      <c r="F8" s="4">
        <v>2</v>
      </c>
      <c r="G8" s="5">
        <v>7.3</v>
      </c>
      <c r="H8">
        <v>29.322429906542048</v>
      </c>
      <c r="I8">
        <v>70.677570093457959</v>
      </c>
      <c r="J8">
        <v>4.9611734253670869</v>
      </c>
      <c r="K8">
        <v>14.405314917572463</v>
      </c>
      <c r="L8" s="9">
        <f t="shared" si="0"/>
        <v>51.311081750518404</v>
      </c>
    </row>
    <row r="9" spans="1:12" x14ac:dyDescent="0.25">
      <c r="A9" s="4">
        <v>6</v>
      </c>
      <c r="B9" s="4" t="s">
        <v>20</v>
      </c>
      <c r="C9" s="4" t="s">
        <v>9</v>
      </c>
      <c r="D9" s="4" t="s">
        <v>10</v>
      </c>
      <c r="E9" s="4">
        <v>4</v>
      </c>
      <c r="F9" s="4">
        <v>3</v>
      </c>
      <c r="G9" s="5">
        <v>5.35</v>
      </c>
      <c r="H9">
        <v>35.00840650102748</v>
      </c>
      <c r="I9">
        <v>64.99159349897252</v>
      </c>
      <c r="J9">
        <v>9.2638750415421214</v>
      </c>
      <c r="K9">
        <v>17.76154120024875</v>
      </c>
      <c r="L9" s="9">
        <f t="shared" si="0"/>
        <v>37.966177257181648</v>
      </c>
    </row>
    <row r="10" spans="1:12" x14ac:dyDescent="0.25">
      <c r="A10" s="4">
        <v>7</v>
      </c>
      <c r="B10" s="4" t="s">
        <v>22</v>
      </c>
      <c r="C10" s="4" t="s">
        <v>9</v>
      </c>
      <c r="D10" s="4" t="s">
        <v>10</v>
      </c>
      <c r="E10" s="4">
        <v>7</v>
      </c>
      <c r="F10" s="4">
        <v>1</v>
      </c>
      <c r="G10" s="5">
        <v>6.3</v>
      </c>
      <c r="H10">
        <v>37.129840546697039</v>
      </c>
      <c r="I10">
        <v>62.870159453302961</v>
      </c>
      <c r="J10">
        <v>6.4620995876946914</v>
      </c>
      <c r="K10">
        <v>16.040978648820904</v>
      </c>
      <c r="L10" s="9">
        <f t="shared" si="0"/>
        <v>40.367081216787362</v>
      </c>
    </row>
    <row r="11" spans="1:12" x14ac:dyDescent="0.25">
      <c r="A11" s="4">
        <v>8</v>
      </c>
      <c r="B11" s="4" t="s">
        <v>24</v>
      </c>
      <c r="C11" s="4" t="s">
        <v>9</v>
      </c>
      <c r="D11" s="4" t="s">
        <v>10</v>
      </c>
      <c r="E11" s="4">
        <v>7</v>
      </c>
      <c r="F11" s="4">
        <v>2</v>
      </c>
      <c r="G11" s="5">
        <v>5.75</v>
      </c>
      <c r="H11">
        <v>15.796310730059751</v>
      </c>
      <c r="I11">
        <v>84.203689269940242</v>
      </c>
      <c r="J11">
        <v>6.6246741963507372</v>
      </c>
      <c r="K11">
        <v>15.877269667832168</v>
      </c>
      <c r="L11" s="9">
        <f t="shared" si="0"/>
        <v>61.701745405757343</v>
      </c>
    </row>
    <row r="12" spans="1:12" x14ac:dyDescent="0.25">
      <c r="A12" s="4">
        <v>9</v>
      </c>
      <c r="B12" s="4" t="s">
        <v>26</v>
      </c>
      <c r="C12" s="4" t="s">
        <v>9</v>
      </c>
      <c r="D12" s="4" t="s">
        <v>10</v>
      </c>
      <c r="E12" s="4">
        <v>7</v>
      </c>
      <c r="F12" s="4">
        <v>3</v>
      </c>
      <c r="G12" s="5">
        <v>5.65</v>
      </c>
      <c r="H12">
        <v>32.496433666191187</v>
      </c>
      <c r="I12">
        <v>67.503566333808806</v>
      </c>
      <c r="J12">
        <v>6.9163292847498035</v>
      </c>
      <c r="K12">
        <v>16.626342843760188</v>
      </c>
      <c r="L12" s="9">
        <f t="shared" si="0"/>
        <v>43.960894205298828</v>
      </c>
    </row>
    <row r="13" spans="1:12" x14ac:dyDescent="0.25">
      <c r="A13" s="4">
        <v>10</v>
      </c>
      <c r="B13" s="4" t="s">
        <v>28</v>
      </c>
      <c r="C13" s="4" t="s">
        <v>9</v>
      </c>
      <c r="D13" s="4">
        <v>13</v>
      </c>
      <c r="E13" s="4">
        <v>3</v>
      </c>
      <c r="F13" s="4">
        <v>1</v>
      </c>
      <c r="G13" s="5">
        <v>6.4</v>
      </c>
      <c r="H13">
        <v>14.134668892598812</v>
      </c>
      <c r="I13">
        <v>85.86533110740119</v>
      </c>
      <c r="J13">
        <v>6.954038868933492</v>
      </c>
      <c r="K13">
        <v>17.54837810670934</v>
      </c>
      <c r="L13" s="9">
        <f t="shared" si="0"/>
        <v>61.362914131758359</v>
      </c>
    </row>
    <row r="14" spans="1:12" x14ac:dyDescent="0.25">
      <c r="A14" s="4">
        <v>11</v>
      </c>
      <c r="B14" s="4" t="s">
        <v>30</v>
      </c>
      <c r="C14" s="4" t="s">
        <v>9</v>
      </c>
      <c r="D14" s="4">
        <v>13</v>
      </c>
      <c r="E14" s="4">
        <v>3</v>
      </c>
      <c r="F14" s="4">
        <v>2</v>
      </c>
      <c r="G14" s="5">
        <v>5.6</v>
      </c>
      <c r="H14">
        <v>21.371456263629735</v>
      </c>
      <c r="I14">
        <v>78.628543736370275</v>
      </c>
      <c r="J14">
        <v>5.9648206199925573</v>
      </c>
      <c r="K14">
        <v>15.065949988217024</v>
      </c>
      <c r="L14" s="9">
        <f t="shared" si="0"/>
        <v>57.597773128160682</v>
      </c>
    </row>
    <row r="15" spans="1:12" x14ac:dyDescent="0.25">
      <c r="A15" s="4">
        <v>12</v>
      </c>
      <c r="B15" s="4" t="s">
        <v>32</v>
      </c>
      <c r="C15" s="4" t="s">
        <v>9</v>
      </c>
      <c r="D15" s="4">
        <v>13</v>
      </c>
      <c r="E15" s="4">
        <v>3</v>
      </c>
      <c r="F15" s="4">
        <v>3</v>
      </c>
      <c r="G15" s="5">
        <v>5.4</v>
      </c>
      <c r="H15">
        <v>17.7760375880971</v>
      </c>
      <c r="I15">
        <v>82.223962411902903</v>
      </c>
      <c r="J15">
        <v>6.4149560117306228</v>
      </c>
      <c r="K15">
        <v>14.46740698322777</v>
      </c>
      <c r="L15" s="9">
        <f t="shared" si="0"/>
        <v>61.341599416944504</v>
      </c>
    </row>
    <row r="16" spans="1:12" x14ac:dyDescent="0.25">
      <c r="A16" s="4">
        <v>13</v>
      </c>
      <c r="B16" s="4" t="s">
        <v>34</v>
      </c>
      <c r="C16" s="4" t="s">
        <v>9</v>
      </c>
      <c r="D16" s="4">
        <v>13</v>
      </c>
      <c r="E16" s="4">
        <v>5</v>
      </c>
      <c r="F16" s="4">
        <v>1</v>
      </c>
      <c r="G16" s="5">
        <v>7.75</v>
      </c>
      <c r="H16">
        <v>20.303986234585594</v>
      </c>
      <c r="I16">
        <v>79.696013765414392</v>
      </c>
      <c r="J16">
        <v>6.6345470342006587</v>
      </c>
      <c r="K16">
        <v>17.387279469285247</v>
      </c>
      <c r="L16" s="9">
        <f t="shared" si="0"/>
        <v>55.674187261928502</v>
      </c>
    </row>
    <row r="17" spans="1:12" x14ac:dyDescent="0.25">
      <c r="A17" s="4">
        <v>14</v>
      </c>
      <c r="B17" s="4" t="s">
        <v>36</v>
      </c>
      <c r="C17" s="4" t="s">
        <v>9</v>
      </c>
      <c r="D17" s="4">
        <v>13</v>
      </c>
      <c r="E17" s="4">
        <v>5</v>
      </c>
      <c r="F17" s="4">
        <v>2</v>
      </c>
      <c r="G17" s="5">
        <v>5.35</v>
      </c>
      <c r="H17">
        <v>22.43617481609693</v>
      </c>
      <c r="I17">
        <v>77.563825183903063</v>
      </c>
      <c r="J17">
        <v>7.3818897637778988</v>
      </c>
      <c r="K17">
        <v>15.98192781211549</v>
      </c>
      <c r="L17" s="9">
        <f t="shared" si="0"/>
        <v>54.200007608009685</v>
      </c>
    </row>
    <row r="18" spans="1:12" x14ac:dyDescent="0.25">
      <c r="A18" s="4">
        <v>15</v>
      </c>
      <c r="B18" s="4" t="s">
        <v>38</v>
      </c>
      <c r="C18" s="4" t="s">
        <v>9</v>
      </c>
      <c r="D18" s="4">
        <v>13</v>
      </c>
      <c r="E18" s="4">
        <v>5</v>
      </c>
      <c r="F18" s="4">
        <v>3</v>
      </c>
      <c r="G18" s="5">
        <v>5.2</v>
      </c>
      <c r="H18">
        <v>13.983786913723211</v>
      </c>
      <c r="I18">
        <v>86.016213086276792</v>
      </c>
      <c r="J18">
        <v>5.8017797941019351</v>
      </c>
      <c r="K18">
        <v>15.888077876693195</v>
      </c>
      <c r="L18" s="9">
        <f t="shared" si="0"/>
        <v>64.326355415481657</v>
      </c>
    </row>
    <row r="19" spans="1:12" x14ac:dyDescent="0.25">
      <c r="A19" s="4">
        <v>16</v>
      </c>
      <c r="B19" s="4" t="s">
        <v>40</v>
      </c>
      <c r="C19" s="4" t="s">
        <v>9</v>
      </c>
      <c r="D19" s="4">
        <v>13</v>
      </c>
      <c r="E19" s="4">
        <v>2</v>
      </c>
      <c r="F19" s="4">
        <v>1</v>
      </c>
      <c r="G19" s="5">
        <v>6.5</v>
      </c>
      <c r="H19">
        <v>25.54016620498615</v>
      </c>
      <c r="I19">
        <v>74.45983379501385</v>
      </c>
      <c r="J19">
        <v>6.1909416748125672</v>
      </c>
      <c r="K19">
        <v>15.466553360692233</v>
      </c>
      <c r="L19" s="9">
        <f t="shared" si="0"/>
        <v>52.802338759509048</v>
      </c>
    </row>
    <row r="20" spans="1:12" x14ac:dyDescent="0.25">
      <c r="A20" s="4">
        <v>17</v>
      </c>
      <c r="B20" s="4" t="s">
        <v>42</v>
      </c>
      <c r="C20" s="4" t="s">
        <v>9</v>
      </c>
      <c r="D20" s="4">
        <v>13</v>
      </c>
      <c r="E20" s="4">
        <v>2</v>
      </c>
      <c r="F20" s="4">
        <v>2</v>
      </c>
      <c r="G20" s="5">
        <v>6.35</v>
      </c>
      <c r="H20">
        <v>19.815444390480803</v>
      </c>
      <c r="I20">
        <v>80.184555609519194</v>
      </c>
      <c r="J20">
        <v>6.8548387096786856</v>
      </c>
      <c r="K20">
        <v>19.05344253226281</v>
      </c>
      <c r="L20" s="9">
        <f t="shared" si="0"/>
        <v>54.276274367577699</v>
      </c>
    </row>
    <row r="21" spans="1:12" x14ac:dyDescent="0.25">
      <c r="A21" s="4">
        <v>18</v>
      </c>
      <c r="B21" s="4" t="s">
        <v>44</v>
      </c>
      <c r="C21" s="4" t="s">
        <v>9</v>
      </c>
      <c r="D21" s="4">
        <v>13</v>
      </c>
      <c r="E21" s="4">
        <v>2</v>
      </c>
      <c r="F21" s="4">
        <v>3</v>
      </c>
      <c r="G21" s="5">
        <v>4.05</v>
      </c>
      <c r="H21">
        <v>29.873668565766661</v>
      </c>
      <c r="I21">
        <v>70.126331434233336</v>
      </c>
      <c r="J21">
        <v>5.66037735849127</v>
      </c>
      <c r="K21">
        <v>14.455366527899502</v>
      </c>
      <c r="L21" s="9">
        <f t="shared" si="0"/>
        <v>50.010587547842569</v>
      </c>
    </row>
    <row r="22" spans="1:12" x14ac:dyDescent="0.25">
      <c r="A22" s="4">
        <v>19</v>
      </c>
      <c r="B22" s="4" t="s">
        <v>46</v>
      </c>
      <c r="C22" s="4" t="s">
        <v>9</v>
      </c>
      <c r="D22" s="4">
        <v>54</v>
      </c>
      <c r="E22" s="4">
        <v>9</v>
      </c>
      <c r="F22" s="4">
        <v>1</v>
      </c>
      <c r="G22" s="5">
        <v>5.65</v>
      </c>
      <c r="H22">
        <v>25.863354037267069</v>
      </c>
      <c r="I22">
        <v>74.136645962732928</v>
      </c>
      <c r="J22">
        <v>7.3186959414513399</v>
      </c>
      <c r="K22">
        <v>14.197755597222226</v>
      </c>
      <c r="L22" s="9">
        <f t="shared" si="0"/>
        <v>52.620194424059363</v>
      </c>
    </row>
    <row r="23" spans="1:12" x14ac:dyDescent="0.25">
      <c r="A23" s="4">
        <v>20</v>
      </c>
      <c r="B23" s="4" t="s">
        <v>48</v>
      </c>
      <c r="C23" s="4" t="s">
        <v>9</v>
      </c>
      <c r="D23" s="4">
        <v>54</v>
      </c>
      <c r="E23" s="4">
        <v>9</v>
      </c>
      <c r="F23" s="4">
        <v>2</v>
      </c>
      <c r="G23" s="5">
        <v>4.5</v>
      </c>
      <c r="H23">
        <v>27.297353615336551</v>
      </c>
      <c r="I23">
        <v>72.702646384663453</v>
      </c>
      <c r="J23">
        <v>6.6109951287423332</v>
      </c>
      <c r="K23">
        <v>17.736161439255188</v>
      </c>
      <c r="L23" s="9">
        <f t="shared" si="0"/>
        <v>48.355489816665923</v>
      </c>
    </row>
    <row r="24" spans="1:12" x14ac:dyDescent="0.25">
      <c r="A24" s="4">
        <v>21</v>
      </c>
      <c r="B24" s="4" t="s">
        <v>50</v>
      </c>
      <c r="C24" s="4" t="s">
        <v>9</v>
      </c>
      <c r="D24" s="4">
        <v>54</v>
      </c>
      <c r="E24" s="4">
        <v>9</v>
      </c>
      <c r="F24" s="4">
        <v>3</v>
      </c>
      <c r="G24" s="5">
        <v>6</v>
      </c>
      <c r="H24">
        <v>34.062428799270911</v>
      </c>
      <c r="I24">
        <v>65.937571200729096</v>
      </c>
      <c r="J24">
        <v>7.1138211382113834</v>
      </c>
      <c r="K24">
        <v>12.985785539534078</v>
      </c>
      <c r="L24" s="9">
        <f t="shared" si="0"/>
        <v>45.837964522983626</v>
      </c>
    </row>
    <row r="25" spans="1:12" x14ac:dyDescent="0.25">
      <c r="A25" s="4">
        <v>22</v>
      </c>
      <c r="B25" s="4" t="s">
        <v>52</v>
      </c>
      <c r="C25" s="4" t="s">
        <v>9</v>
      </c>
      <c r="D25" s="4">
        <v>54</v>
      </c>
      <c r="E25" s="4">
        <v>6</v>
      </c>
      <c r="F25" s="4">
        <v>1</v>
      </c>
      <c r="G25" s="5">
        <v>6.65</v>
      </c>
      <c r="H25">
        <v>33.139828369510333</v>
      </c>
      <c r="I25">
        <v>66.860171630489674</v>
      </c>
      <c r="J25">
        <v>5.295566502464772</v>
      </c>
      <c r="K25">
        <v>16.079833332403808</v>
      </c>
      <c r="L25" s="9">
        <f t="shared" si="0"/>
        <v>45.484771795621086</v>
      </c>
    </row>
    <row r="26" spans="1:12" x14ac:dyDescent="0.25">
      <c r="A26" s="4">
        <v>23</v>
      </c>
      <c r="B26" s="4" t="s">
        <v>54</v>
      </c>
      <c r="C26" s="4" t="s">
        <v>9</v>
      </c>
      <c r="D26" s="4">
        <v>54</v>
      </c>
      <c r="E26" s="4">
        <v>6</v>
      </c>
      <c r="F26" s="4">
        <v>2</v>
      </c>
      <c r="G26" s="5">
        <v>5.55</v>
      </c>
      <c r="H26">
        <v>14.939309056956102</v>
      </c>
      <c r="I26">
        <v>85.060690943043895</v>
      </c>
      <c r="J26">
        <v>4.7511312217185662</v>
      </c>
      <c r="K26">
        <v>14.169392760177907</v>
      </c>
      <c r="L26" s="9">
        <f t="shared" si="0"/>
        <v>66.140166961147429</v>
      </c>
    </row>
    <row r="27" spans="1:12" x14ac:dyDescent="0.25">
      <c r="A27" s="4">
        <v>24</v>
      </c>
      <c r="B27" s="4" t="s">
        <v>56</v>
      </c>
      <c r="C27" s="4" t="s">
        <v>9</v>
      </c>
      <c r="D27" s="4">
        <v>54</v>
      </c>
      <c r="E27" s="4">
        <v>6</v>
      </c>
      <c r="F27" s="4">
        <v>3</v>
      </c>
      <c r="G27" s="5">
        <v>5.4</v>
      </c>
      <c r="H27">
        <v>22.111111111111054</v>
      </c>
      <c r="I27">
        <v>77.888888888888943</v>
      </c>
      <c r="J27">
        <v>6.9649295313023298</v>
      </c>
      <c r="K27">
        <v>16.198171726002101</v>
      </c>
      <c r="L27" s="9">
        <f t="shared" si="0"/>
        <v>54.725787631584517</v>
      </c>
    </row>
    <row r="28" spans="1:12" x14ac:dyDescent="0.25">
      <c r="A28" s="4">
        <v>25</v>
      </c>
      <c r="B28" s="4" t="s">
        <v>58</v>
      </c>
      <c r="C28" s="4" t="s">
        <v>9</v>
      </c>
      <c r="D28" s="4">
        <v>54</v>
      </c>
      <c r="E28" s="4">
        <v>8</v>
      </c>
      <c r="F28" s="4">
        <v>1</v>
      </c>
      <c r="G28" s="5">
        <v>5.85</v>
      </c>
      <c r="H28">
        <v>50.906693043191552</v>
      </c>
      <c r="I28">
        <v>49.093306956808441</v>
      </c>
      <c r="J28">
        <v>4.6978895634583022</v>
      </c>
      <c r="K28">
        <v>11.536593556478241</v>
      </c>
      <c r="L28" s="9">
        <f t="shared" si="0"/>
        <v>32.858823836871906</v>
      </c>
    </row>
    <row r="29" spans="1:12" x14ac:dyDescent="0.25">
      <c r="A29" s="4">
        <v>26</v>
      </c>
      <c r="B29" s="4" t="s">
        <v>60</v>
      </c>
      <c r="C29" s="4" t="s">
        <v>9</v>
      </c>
      <c r="D29" s="4">
        <v>54</v>
      </c>
      <c r="E29" s="4">
        <v>8</v>
      </c>
      <c r="F29" s="4">
        <v>2</v>
      </c>
      <c r="G29" s="5">
        <v>5.45</v>
      </c>
      <c r="H29">
        <v>26.805119536343895</v>
      </c>
      <c r="I29">
        <v>73.194880463656105</v>
      </c>
      <c r="J29">
        <v>9.1697360343781771</v>
      </c>
      <c r="K29">
        <v>13.65809197556259</v>
      </c>
      <c r="L29" s="9">
        <f t="shared" si="0"/>
        <v>50.367052453715338</v>
      </c>
    </row>
    <row r="30" spans="1:12" x14ac:dyDescent="0.25">
      <c r="A30" s="4">
        <v>27</v>
      </c>
      <c r="B30" s="4" t="s">
        <v>62</v>
      </c>
      <c r="C30" s="4" t="s">
        <v>9</v>
      </c>
      <c r="D30" s="4">
        <v>54</v>
      </c>
      <c r="E30" s="4">
        <v>8</v>
      </c>
      <c r="F30" s="4">
        <v>3</v>
      </c>
      <c r="G30" s="5">
        <v>5.45</v>
      </c>
      <c r="H30">
        <v>16.041918581217256</v>
      </c>
      <c r="I30">
        <v>83.958081418782754</v>
      </c>
      <c r="J30">
        <v>7.190265486724992</v>
      </c>
      <c r="K30">
        <v>16.740599809308357</v>
      </c>
      <c r="L30" s="9">
        <f t="shared" si="0"/>
        <v>60.027216122749394</v>
      </c>
    </row>
    <row r="31" spans="1:12" x14ac:dyDescent="0.25">
      <c r="A31" s="4">
        <v>28</v>
      </c>
      <c r="B31" s="4" t="s">
        <v>64</v>
      </c>
      <c r="C31" s="4" t="s">
        <v>65</v>
      </c>
      <c r="D31" s="4" t="s">
        <v>10</v>
      </c>
      <c r="E31" s="4">
        <v>1</v>
      </c>
      <c r="F31" s="4">
        <v>1</v>
      </c>
      <c r="G31" s="5">
        <v>5.45</v>
      </c>
      <c r="H31">
        <v>20.697674418604663</v>
      </c>
      <c r="I31">
        <v>79.302325581395337</v>
      </c>
      <c r="J31">
        <v>7.1649484536099335</v>
      </c>
      <c r="K31">
        <v>14.325341874271555</v>
      </c>
      <c r="L31" s="9">
        <f t="shared" si="0"/>
        <v>57.812035253513848</v>
      </c>
    </row>
    <row r="32" spans="1:12" x14ac:dyDescent="0.25">
      <c r="A32" s="4">
        <v>29</v>
      </c>
      <c r="B32" s="4" t="s">
        <v>67</v>
      </c>
      <c r="C32" s="4" t="s">
        <v>65</v>
      </c>
      <c r="D32" s="4" t="s">
        <v>10</v>
      </c>
      <c r="E32" s="4">
        <v>1</v>
      </c>
      <c r="F32" s="4">
        <v>2</v>
      </c>
      <c r="G32" s="5">
        <v>5.5</v>
      </c>
      <c r="H32">
        <v>19.039451114922809</v>
      </c>
      <c r="I32">
        <v>80.960548885077188</v>
      </c>
      <c r="J32">
        <v>5.5953446732318701</v>
      </c>
      <c r="K32">
        <v>16.914102223926385</v>
      </c>
      <c r="L32" s="9">
        <f t="shared" si="0"/>
        <v>58.451101987918932</v>
      </c>
    </row>
    <row r="33" spans="1:12" x14ac:dyDescent="0.25">
      <c r="A33" s="4">
        <v>30</v>
      </c>
      <c r="B33" s="4" t="s">
        <v>69</v>
      </c>
      <c r="C33" s="4" t="s">
        <v>65</v>
      </c>
      <c r="D33" s="4" t="s">
        <v>10</v>
      </c>
      <c r="E33" s="4">
        <v>1</v>
      </c>
      <c r="F33" s="4">
        <v>3</v>
      </c>
      <c r="G33" s="5">
        <v>5</v>
      </c>
      <c r="H33">
        <v>60.914359304571789</v>
      </c>
      <c r="I33">
        <v>39.085640695428211</v>
      </c>
      <c r="J33">
        <v>4.618320610687161</v>
      </c>
      <c r="K33">
        <v>12.996767822128859</v>
      </c>
      <c r="L33" s="9">
        <f>100-(H33+J33+K33)</f>
        <v>21.470552262612188</v>
      </c>
    </row>
    <row r="34" spans="1:12" x14ac:dyDescent="0.25">
      <c r="A34" s="4">
        <v>31</v>
      </c>
      <c r="B34" s="4" t="s">
        <v>71</v>
      </c>
      <c r="C34" s="4" t="s">
        <v>65</v>
      </c>
      <c r="D34" s="4" t="s">
        <v>10</v>
      </c>
      <c r="E34" s="4">
        <v>1</v>
      </c>
      <c r="F34" s="4">
        <v>4</v>
      </c>
      <c r="G34" s="5">
        <v>8.75</v>
      </c>
      <c r="H34">
        <v>23.081664098613267</v>
      </c>
      <c r="I34">
        <v>76.91833590138674</v>
      </c>
      <c r="J34">
        <v>5.7894736842098631</v>
      </c>
      <c r="K34">
        <v>19.11245057389441</v>
      </c>
      <c r="L34" s="9">
        <f t="shared" si="0"/>
        <v>52.01641164328246</v>
      </c>
    </row>
    <row r="35" spans="1:12" x14ac:dyDescent="0.25">
      <c r="A35" s="4">
        <v>32</v>
      </c>
      <c r="B35" s="4" t="s">
        <v>73</v>
      </c>
      <c r="C35" s="4" t="s">
        <v>65</v>
      </c>
      <c r="D35" s="4" t="s">
        <v>10</v>
      </c>
      <c r="E35" s="4">
        <v>1</v>
      </c>
      <c r="F35" s="4">
        <v>5</v>
      </c>
      <c r="G35" s="5">
        <v>5.15</v>
      </c>
      <c r="H35">
        <v>18.883558656781528</v>
      </c>
      <c r="I35">
        <v>81.116441343218483</v>
      </c>
      <c r="J35" t="e">
        <v>#VALUE!</v>
      </c>
      <c r="K35">
        <v>18.471780363606459</v>
      </c>
      <c r="L35" s="9" t="e">
        <f>100-(H35+J35+K35)</f>
        <v>#VALUE!</v>
      </c>
    </row>
    <row r="36" spans="1:12" x14ac:dyDescent="0.25">
      <c r="A36" s="4">
        <v>33</v>
      </c>
      <c r="B36" s="7" t="s">
        <v>75</v>
      </c>
      <c r="C36" s="7" t="s">
        <v>65</v>
      </c>
      <c r="D36" s="7" t="s">
        <v>10</v>
      </c>
      <c r="E36" s="7">
        <v>1</v>
      </c>
      <c r="F36" s="7">
        <v>6</v>
      </c>
      <c r="G36" s="8">
        <v>6</v>
      </c>
      <c r="L36" s="9"/>
    </row>
    <row r="37" spans="1:12" x14ac:dyDescent="0.25">
      <c r="A37" s="4">
        <v>34</v>
      </c>
      <c r="B37" s="7" t="s">
        <v>77</v>
      </c>
      <c r="C37" s="7" t="s">
        <v>65</v>
      </c>
      <c r="D37" s="7" t="s">
        <v>10</v>
      </c>
      <c r="E37" s="7">
        <v>1</v>
      </c>
      <c r="F37" s="7">
        <v>7</v>
      </c>
      <c r="G37" s="8">
        <v>8.25</v>
      </c>
      <c r="L37" s="9"/>
    </row>
    <row r="38" spans="1:12" x14ac:dyDescent="0.25">
      <c r="A38" s="4">
        <v>35</v>
      </c>
      <c r="B38" s="7" t="s">
        <v>79</v>
      </c>
      <c r="C38" s="7" t="s">
        <v>65</v>
      </c>
      <c r="D38" s="7" t="s">
        <v>10</v>
      </c>
      <c r="E38" s="7">
        <v>1</v>
      </c>
      <c r="F38" s="7">
        <v>8</v>
      </c>
      <c r="G38" s="8">
        <v>7.55</v>
      </c>
      <c r="L38" s="9"/>
    </row>
    <row r="39" spans="1:12" x14ac:dyDescent="0.25">
      <c r="A39" s="4">
        <v>36</v>
      </c>
      <c r="B39" s="4" t="s">
        <v>81</v>
      </c>
      <c r="C39" s="4" t="s">
        <v>65</v>
      </c>
      <c r="D39" s="4" t="s">
        <v>10</v>
      </c>
      <c r="E39" s="4">
        <v>4</v>
      </c>
      <c r="F39" s="4">
        <v>1</v>
      </c>
      <c r="G39" s="5">
        <v>7.3</v>
      </c>
      <c r="H39">
        <v>19.529339853300744</v>
      </c>
      <c r="I39">
        <v>80.470660146699245</v>
      </c>
      <c r="J39">
        <v>6.2141491395802229</v>
      </c>
      <c r="K39">
        <v>17.510826075268813</v>
      </c>
      <c r="L39" s="9">
        <f t="shared" si="0"/>
        <v>56.745684931850221</v>
      </c>
    </row>
    <row r="40" spans="1:12" x14ac:dyDescent="0.25">
      <c r="A40" s="4">
        <v>37</v>
      </c>
      <c r="B40" s="4" t="s">
        <v>83</v>
      </c>
      <c r="C40" s="4" t="s">
        <v>65</v>
      </c>
      <c r="D40" s="4" t="s">
        <v>10</v>
      </c>
      <c r="E40" s="4">
        <v>4</v>
      </c>
      <c r="F40" s="4">
        <v>2</v>
      </c>
      <c r="G40" s="5">
        <v>8.15</v>
      </c>
      <c r="H40">
        <v>18.484107579462105</v>
      </c>
      <c r="I40">
        <v>81.515892420537895</v>
      </c>
      <c r="J40">
        <v>6.3306451612909838</v>
      </c>
      <c r="K40">
        <v>14.779284184587809</v>
      </c>
      <c r="L40" s="9">
        <f t="shared" si="0"/>
        <v>60.405963074659098</v>
      </c>
    </row>
    <row r="41" spans="1:12" x14ac:dyDescent="0.25">
      <c r="A41" s="4">
        <v>38</v>
      </c>
      <c r="B41" s="4" t="s">
        <v>85</v>
      </c>
      <c r="C41" s="4" t="s">
        <v>65</v>
      </c>
      <c r="D41" s="4" t="s">
        <v>10</v>
      </c>
      <c r="E41" s="4">
        <v>4</v>
      </c>
      <c r="F41" s="4">
        <v>3</v>
      </c>
      <c r="G41" s="5">
        <v>6.95</v>
      </c>
      <c r="H41">
        <v>18.553132571824168</v>
      </c>
      <c r="I41">
        <v>81.446867428175835</v>
      </c>
      <c r="J41">
        <v>5.0520833333322903</v>
      </c>
      <c r="K41">
        <v>18.521034933916933</v>
      </c>
      <c r="L41" s="9">
        <f t="shared" si="0"/>
        <v>57.873749160926607</v>
      </c>
    </row>
    <row r="42" spans="1:12" x14ac:dyDescent="0.25">
      <c r="A42" s="4">
        <v>39</v>
      </c>
      <c r="B42" s="4" t="s">
        <v>87</v>
      </c>
      <c r="C42" s="4" t="s">
        <v>65</v>
      </c>
      <c r="D42" s="4" t="s">
        <v>10</v>
      </c>
      <c r="E42" s="4">
        <v>4</v>
      </c>
      <c r="F42" s="4">
        <v>4</v>
      </c>
      <c r="G42" s="5">
        <v>6.1</v>
      </c>
      <c r="H42">
        <v>18.319327731092461</v>
      </c>
      <c r="I42">
        <v>81.680672268907543</v>
      </c>
      <c r="J42">
        <v>4.8962655601652969</v>
      </c>
      <c r="K42">
        <v>14.397148101904552</v>
      </c>
      <c r="L42" s="9">
        <f t="shared" si="0"/>
        <v>62.38725860683769</v>
      </c>
    </row>
    <row r="43" spans="1:12" x14ac:dyDescent="0.25">
      <c r="A43" s="4">
        <v>40</v>
      </c>
      <c r="B43" s="4" t="s">
        <v>89</v>
      </c>
      <c r="C43" s="4" t="s">
        <v>65</v>
      </c>
      <c r="D43" s="4" t="s">
        <v>10</v>
      </c>
      <c r="E43" s="4">
        <v>4</v>
      </c>
      <c r="F43" s="4">
        <v>5</v>
      </c>
      <c r="G43" s="5">
        <v>4.1500000000000004</v>
      </c>
      <c r="H43">
        <v>19.797495337063662</v>
      </c>
      <c r="I43">
        <v>80.202504662936335</v>
      </c>
      <c r="J43">
        <v>6.2836624775587566</v>
      </c>
      <c r="K43">
        <v>19.61688184267307</v>
      </c>
      <c r="L43" s="9">
        <f t="shared" si="0"/>
        <v>54.301960342704511</v>
      </c>
    </row>
    <row r="44" spans="1:12" x14ac:dyDescent="0.25">
      <c r="A44" s="4">
        <v>41</v>
      </c>
      <c r="B44" s="7" t="s">
        <v>91</v>
      </c>
      <c r="C44" s="7" t="s">
        <v>65</v>
      </c>
      <c r="D44" s="7" t="s">
        <v>10</v>
      </c>
      <c r="E44" s="7">
        <v>4</v>
      </c>
      <c r="F44" s="7">
        <v>6</v>
      </c>
      <c r="G44" s="8">
        <v>5.3</v>
      </c>
      <c r="L44" s="9"/>
    </row>
    <row r="45" spans="1:12" x14ac:dyDescent="0.25">
      <c r="A45" s="4">
        <v>42</v>
      </c>
      <c r="B45" s="7" t="s">
        <v>93</v>
      </c>
      <c r="C45" s="7" t="s">
        <v>65</v>
      </c>
      <c r="D45" s="7" t="s">
        <v>10</v>
      </c>
      <c r="E45" s="7">
        <v>4</v>
      </c>
      <c r="F45" s="7">
        <v>7</v>
      </c>
      <c r="G45" s="8">
        <v>7.4</v>
      </c>
      <c r="L45" s="9"/>
    </row>
    <row r="46" spans="1:12" x14ac:dyDescent="0.25">
      <c r="A46" s="4">
        <v>43</v>
      </c>
      <c r="B46" s="7" t="s">
        <v>95</v>
      </c>
      <c r="C46" s="7" t="s">
        <v>65</v>
      </c>
      <c r="D46" s="7" t="s">
        <v>10</v>
      </c>
      <c r="E46" s="7">
        <v>4</v>
      </c>
      <c r="F46" s="7">
        <v>8</v>
      </c>
      <c r="G46" s="8">
        <v>7.95</v>
      </c>
      <c r="L46" s="9"/>
    </row>
    <row r="47" spans="1:12" x14ac:dyDescent="0.25">
      <c r="A47" s="4">
        <v>44</v>
      </c>
      <c r="B47" s="4" t="s">
        <v>97</v>
      </c>
      <c r="C47" s="4" t="s">
        <v>65</v>
      </c>
      <c r="D47" s="4" t="s">
        <v>10</v>
      </c>
      <c r="E47" s="4">
        <v>7</v>
      </c>
      <c r="F47" s="4">
        <v>1</v>
      </c>
      <c r="G47" s="5">
        <v>5.15</v>
      </c>
      <c r="H47">
        <v>27.215707662939742</v>
      </c>
      <c r="I47">
        <v>72.784292337060265</v>
      </c>
      <c r="J47">
        <v>5.9959349593487596</v>
      </c>
      <c r="K47">
        <v>15.246559561536616</v>
      </c>
      <c r="L47" s="9">
        <f t="shared" si="0"/>
        <v>51.541797816174885</v>
      </c>
    </row>
    <row r="48" spans="1:12" x14ac:dyDescent="0.25">
      <c r="A48" s="4">
        <v>45</v>
      </c>
      <c r="B48" s="4" t="s">
        <v>99</v>
      </c>
      <c r="C48" s="4" t="s">
        <v>65</v>
      </c>
      <c r="D48" s="4" t="s">
        <v>10</v>
      </c>
      <c r="E48" s="4">
        <v>7</v>
      </c>
      <c r="F48" s="4">
        <v>2</v>
      </c>
      <c r="G48" s="5">
        <v>4.8</v>
      </c>
      <c r="H48">
        <v>20.483032711708969</v>
      </c>
      <c r="I48">
        <v>79.516967288291028</v>
      </c>
      <c r="J48">
        <v>5.4285714285708222</v>
      </c>
      <c r="K48">
        <v>16.455458615173669</v>
      </c>
      <c r="L48" s="9">
        <f t="shared" si="0"/>
        <v>57.63293724454654</v>
      </c>
    </row>
    <row r="49" spans="1:12" x14ac:dyDescent="0.25">
      <c r="A49" s="4">
        <v>46</v>
      </c>
      <c r="B49" s="4" t="s">
        <v>101</v>
      </c>
      <c r="C49" s="4" t="s">
        <v>65</v>
      </c>
      <c r="D49" s="4" t="s">
        <v>10</v>
      </c>
      <c r="E49" s="4">
        <v>7</v>
      </c>
      <c r="F49" s="4">
        <v>3</v>
      </c>
      <c r="G49" s="5">
        <v>7.05</v>
      </c>
      <c r="H49">
        <v>17.182021039209435</v>
      </c>
      <c r="I49">
        <v>82.817978960790569</v>
      </c>
      <c r="J49">
        <v>5.1150895140676607</v>
      </c>
      <c r="K49">
        <v>15.828414529274781</v>
      </c>
      <c r="L49" s="9">
        <f t="shared" si="0"/>
        <v>61.874474917448126</v>
      </c>
    </row>
    <row r="50" spans="1:12" x14ac:dyDescent="0.25">
      <c r="A50" s="4">
        <v>47</v>
      </c>
      <c r="B50" s="4" t="s">
        <v>103</v>
      </c>
      <c r="C50" s="4" t="s">
        <v>65</v>
      </c>
      <c r="D50" s="4" t="s">
        <v>10</v>
      </c>
      <c r="E50" s="4">
        <v>7</v>
      </c>
      <c r="F50" s="4">
        <v>4</v>
      </c>
      <c r="G50" s="5">
        <v>6.5</v>
      </c>
      <c r="H50">
        <v>30.42925278219392</v>
      </c>
      <c r="I50">
        <v>69.570747217806073</v>
      </c>
      <c r="J50">
        <v>5.601092896174948</v>
      </c>
      <c r="K50">
        <v>16.514767303018669</v>
      </c>
      <c r="L50" s="9">
        <f t="shared" si="0"/>
        <v>47.454887018612467</v>
      </c>
    </row>
    <row r="51" spans="1:12" x14ac:dyDescent="0.25">
      <c r="A51" s="4">
        <v>48</v>
      </c>
      <c r="B51" s="4" t="s">
        <v>105</v>
      </c>
      <c r="C51" s="4" t="s">
        <v>65</v>
      </c>
      <c r="D51" s="4" t="s">
        <v>10</v>
      </c>
      <c r="E51" s="4">
        <v>7</v>
      </c>
      <c r="F51" s="4">
        <v>5</v>
      </c>
      <c r="G51" s="5">
        <v>7.3</v>
      </c>
      <c r="H51">
        <v>25.861622181912431</v>
      </c>
      <c r="I51">
        <v>74.138377818087577</v>
      </c>
      <c r="J51">
        <v>6.5510597302489071</v>
      </c>
      <c r="K51">
        <v>17.669734076168933</v>
      </c>
      <c r="L51" s="9">
        <f t="shared" si="0"/>
        <v>49.917584011669732</v>
      </c>
    </row>
    <row r="52" spans="1:12" x14ac:dyDescent="0.25">
      <c r="A52" s="4">
        <v>49</v>
      </c>
      <c r="B52" s="7" t="s">
        <v>107</v>
      </c>
      <c r="C52" s="7" t="s">
        <v>65</v>
      </c>
      <c r="D52" s="7" t="s">
        <v>10</v>
      </c>
      <c r="E52" s="7">
        <v>7</v>
      </c>
      <c r="F52" s="7">
        <v>6</v>
      </c>
      <c r="G52" s="8">
        <v>5.5</v>
      </c>
      <c r="L52" s="9"/>
    </row>
    <row r="53" spans="1:12" x14ac:dyDescent="0.25">
      <c r="A53" s="4">
        <v>50</v>
      </c>
      <c r="B53" s="7" t="s">
        <v>109</v>
      </c>
      <c r="C53" s="7" t="s">
        <v>65</v>
      </c>
      <c r="D53" s="7" t="s">
        <v>10</v>
      </c>
      <c r="E53" s="7">
        <v>7</v>
      </c>
      <c r="F53" s="7">
        <v>7</v>
      </c>
      <c r="G53" s="8">
        <v>9.9499999999999993</v>
      </c>
      <c r="L53" s="9"/>
    </row>
    <row r="54" spans="1:12" x14ac:dyDescent="0.25">
      <c r="A54" s="4">
        <v>51</v>
      </c>
      <c r="B54" s="7" t="s">
        <v>111</v>
      </c>
      <c r="C54" s="7" t="s">
        <v>65</v>
      </c>
      <c r="D54" s="7" t="s">
        <v>10</v>
      </c>
      <c r="E54" s="7">
        <v>7</v>
      </c>
      <c r="F54" s="7">
        <v>8</v>
      </c>
      <c r="G54" s="8">
        <v>5.45</v>
      </c>
      <c r="L54" s="9"/>
    </row>
    <row r="55" spans="1:12" x14ac:dyDescent="0.25">
      <c r="A55" s="4">
        <v>52</v>
      </c>
      <c r="B55" s="4" t="s">
        <v>113</v>
      </c>
      <c r="C55" s="4" t="s">
        <v>65</v>
      </c>
      <c r="D55" s="4">
        <v>13</v>
      </c>
      <c r="E55" s="4">
        <v>3</v>
      </c>
      <c r="F55" s="4">
        <v>1</v>
      </c>
      <c r="G55" s="5">
        <v>5.55</v>
      </c>
      <c r="H55">
        <v>34.447229184071254</v>
      </c>
      <c r="I55">
        <v>65.552770815928739</v>
      </c>
      <c r="J55">
        <v>5.3822295201618804</v>
      </c>
      <c r="K55">
        <v>13.029321764644934</v>
      </c>
      <c r="L55" s="9">
        <f t="shared" si="0"/>
        <v>47.141219531121934</v>
      </c>
    </row>
    <row r="56" spans="1:12" x14ac:dyDescent="0.25">
      <c r="A56" s="4">
        <v>53</v>
      </c>
      <c r="B56" s="4" t="s">
        <v>115</v>
      </c>
      <c r="C56" s="4" t="s">
        <v>65</v>
      </c>
      <c r="D56" s="4">
        <v>13</v>
      </c>
      <c r="E56" s="4">
        <v>3</v>
      </c>
      <c r="F56" s="4">
        <v>2</v>
      </c>
      <c r="G56" s="5">
        <v>6.15</v>
      </c>
      <c r="H56">
        <v>23.670513690880306</v>
      </c>
      <c r="I56">
        <v>76.329486309119702</v>
      </c>
      <c r="J56">
        <v>5.0600885515512131</v>
      </c>
      <c r="K56">
        <v>17.22759472092115</v>
      </c>
      <c r="L56" s="9">
        <f t="shared" si="0"/>
        <v>54.04180303664733</v>
      </c>
    </row>
    <row r="57" spans="1:12" x14ac:dyDescent="0.25">
      <c r="A57" s="4">
        <v>54</v>
      </c>
      <c r="B57" s="4" t="s">
        <v>117</v>
      </c>
      <c r="C57" s="4" t="s">
        <v>65</v>
      </c>
      <c r="D57" s="4">
        <v>13</v>
      </c>
      <c r="E57" s="4">
        <v>3</v>
      </c>
      <c r="F57" s="4">
        <v>3</v>
      </c>
      <c r="G57" s="5">
        <v>6.05</v>
      </c>
      <c r="H57">
        <v>16.154473755779168</v>
      </c>
      <c r="I57">
        <v>83.845526244220821</v>
      </c>
      <c r="J57">
        <v>5.3510063819349298</v>
      </c>
      <c r="K57">
        <v>13.205771740349125</v>
      </c>
      <c r="L57" s="9">
        <f t="shared" si="0"/>
        <v>65.288748121936777</v>
      </c>
    </row>
    <row r="58" spans="1:12" x14ac:dyDescent="0.25">
      <c r="A58" s="4">
        <v>55</v>
      </c>
      <c r="B58" s="4" t="s">
        <v>119</v>
      </c>
      <c r="C58" s="4" t="s">
        <v>65</v>
      </c>
      <c r="D58" s="4">
        <v>13</v>
      </c>
      <c r="E58" s="4">
        <v>3</v>
      </c>
      <c r="F58" s="4">
        <v>4</v>
      </c>
      <c r="G58" s="5">
        <v>6.8</v>
      </c>
      <c r="H58">
        <v>12.042270828213335</v>
      </c>
      <c r="I58">
        <v>87.957729171786667</v>
      </c>
      <c r="J58">
        <v>6.1471861471844953</v>
      </c>
      <c r="K58">
        <v>19.107877976190469</v>
      </c>
      <c r="L58" s="9">
        <f t="shared" si="0"/>
        <v>62.702665048411703</v>
      </c>
    </row>
    <row r="59" spans="1:12" x14ac:dyDescent="0.25">
      <c r="A59" s="4">
        <v>56</v>
      </c>
      <c r="B59" s="4" t="s">
        <v>121</v>
      </c>
      <c r="C59" s="4" t="s">
        <v>65</v>
      </c>
      <c r="D59" s="4">
        <v>13</v>
      </c>
      <c r="E59" s="4">
        <v>3</v>
      </c>
      <c r="F59" s="4">
        <v>5</v>
      </c>
      <c r="G59" s="5">
        <v>5.7</v>
      </c>
      <c r="H59">
        <v>18.837339295695944</v>
      </c>
      <c r="I59">
        <v>81.162660704304059</v>
      </c>
      <c r="J59">
        <v>5.2109811896289537</v>
      </c>
      <c r="K59">
        <v>18.266621722846434</v>
      </c>
      <c r="L59" s="9">
        <f t="shared" si="0"/>
        <v>57.685057791828669</v>
      </c>
    </row>
    <row r="60" spans="1:12" x14ac:dyDescent="0.25">
      <c r="A60" s="4">
        <v>57</v>
      </c>
      <c r="B60" s="7" t="s">
        <v>123</v>
      </c>
      <c r="C60" s="7" t="s">
        <v>65</v>
      </c>
      <c r="D60" s="7">
        <v>13</v>
      </c>
      <c r="E60" s="7">
        <v>3</v>
      </c>
      <c r="F60" s="7">
        <v>6</v>
      </c>
      <c r="G60" s="8">
        <v>10.199999999999999</v>
      </c>
      <c r="L60" s="9"/>
    </row>
    <row r="61" spans="1:12" x14ac:dyDescent="0.25">
      <c r="A61" s="4">
        <v>58</v>
      </c>
      <c r="B61" s="7" t="s">
        <v>125</v>
      </c>
      <c r="C61" s="7" t="s">
        <v>65</v>
      </c>
      <c r="D61" s="7">
        <v>13</v>
      </c>
      <c r="E61" s="7">
        <v>3</v>
      </c>
      <c r="F61" s="7">
        <v>7</v>
      </c>
      <c r="G61" s="8">
        <v>5.85</v>
      </c>
      <c r="L61" s="9"/>
    </row>
    <row r="62" spans="1:12" x14ac:dyDescent="0.25">
      <c r="A62" s="4">
        <v>59</v>
      </c>
      <c r="B62" s="4" t="s">
        <v>127</v>
      </c>
      <c r="C62" s="4" t="s">
        <v>65</v>
      </c>
      <c r="D62" s="4">
        <v>13</v>
      </c>
      <c r="E62" s="4">
        <v>5</v>
      </c>
      <c r="F62" s="4">
        <v>1</v>
      </c>
      <c r="G62" s="5">
        <v>5.2</v>
      </c>
      <c r="H62">
        <v>14.021000617665241</v>
      </c>
      <c r="I62">
        <v>85.978999382334763</v>
      </c>
      <c r="J62">
        <v>5.6272757365113453</v>
      </c>
      <c r="K62">
        <v>16.170525506122036</v>
      </c>
      <c r="L62" s="9">
        <f t="shared" si="0"/>
        <v>64.18119813970138</v>
      </c>
    </row>
    <row r="63" spans="1:12" x14ac:dyDescent="0.25">
      <c r="A63" s="4">
        <v>60</v>
      </c>
      <c r="B63" s="4" t="s">
        <v>129</v>
      </c>
      <c r="C63" s="4" t="s">
        <v>65</v>
      </c>
      <c r="D63" s="4">
        <v>13</v>
      </c>
      <c r="E63" s="4">
        <v>5</v>
      </c>
      <c r="F63" s="4">
        <v>2</v>
      </c>
      <c r="G63" s="5">
        <v>6.15</v>
      </c>
      <c r="H63">
        <v>19.6029776674938</v>
      </c>
      <c r="I63">
        <v>80.397022332506197</v>
      </c>
      <c r="J63">
        <v>8.2040306759394053</v>
      </c>
      <c r="K63">
        <v>18.420772779339796</v>
      </c>
      <c r="L63" s="9">
        <f t="shared" si="0"/>
        <v>53.772218877227004</v>
      </c>
    </row>
    <row r="64" spans="1:12" x14ac:dyDescent="0.25">
      <c r="A64" s="4">
        <v>61</v>
      </c>
      <c r="B64" s="4" t="s">
        <v>131</v>
      </c>
      <c r="C64" s="4" t="s">
        <v>65</v>
      </c>
      <c r="D64" s="4">
        <v>13</v>
      </c>
      <c r="E64" s="4">
        <v>5</v>
      </c>
      <c r="F64" s="4">
        <v>3</v>
      </c>
      <c r="G64" s="5">
        <v>5.45</v>
      </c>
      <c r="H64">
        <v>18.859794497845577</v>
      </c>
      <c r="I64">
        <v>81.14020550215443</v>
      </c>
      <c r="J64">
        <v>6.0752255874212793</v>
      </c>
      <c r="K64">
        <v>20.24445977166792</v>
      </c>
      <c r="L64" s="9">
        <f t="shared" si="0"/>
        <v>54.820520143065224</v>
      </c>
    </row>
    <row r="65" spans="1:12" x14ac:dyDescent="0.25">
      <c r="A65" s="4">
        <v>62</v>
      </c>
      <c r="B65" s="4" t="s">
        <v>133</v>
      </c>
      <c r="C65" s="4" t="s">
        <v>65</v>
      </c>
      <c r="D65" s="4">
        <v>13</v>
      </c>
      <c r="E65" s="4">
        <v>5</v>
      </c>
      <c r="F65" s="4">
        <v>4</v>
      </c>
      <c r="G65" s="5">
        <v>7.75</v>
      </c>
      <c r="H65">
        <v>34.86504572830696</v>
      </c>
      <c r="I65">
        <v>65.134954271693047</v>
      </c>
      <c r="J65">
        <v>5.4054054054063414</v>
      </c>
      <c r="K65">
        <v>17.974556929551476</v>
      </c>
      <c r="L65" s="9">
        <f t="shared" si="0"/>
        <v>41.754991936735223</v>
      </c>
    </row>
    <row r="66" spans="1:12" x14ac:dyDescent="0.25">
      <c r="A66" s="4">
        <v>63</v>
      </c>
      <c r="B66" s="4" t="s">
        <v>135</v>
      </c>
      <c r="C66" s="4" t="s">
        <v>65</v>
      </c>
      <c r="D66" s="4">
        <v>13</v>
      </c>
      <c r="E66" s="4">
        <v>5</v>
      </c>
      <c r="F66" s="4">
        <v>5</v>
      </c>
      <c r="G66" s="5">
        <v>6.55</v>
      </c>
      <c r="H66">
        <v>23.79767827529021</v>
      </c>
      <c r="I66">
        <v>76.20232172470979</v>
      </c>
      <c r="J66">
        <v>6.5238095238090041</v>
      </c>
      <c r="K66">
        <v>15.780321370615827</v>
      </c>
      <c r="L66" s="9">
        <f t="shared" si="0"/>
        <v>53.89819083028496</v>
      </c>
    </row>
    <row r="67" spans="1:12" x14ac:dyDescent="0.25">
      <c r="A67" s="4">
        <v>64</v>
      </c>
      <c r="B67" s="7" t="s">
        <v>137</v>
      </c>
      <c r="C67" s="7" t="s">
        <v>65</v>
      </c>
      <c r="D67" s="7">
        <v>13</v>
      </c>
      <c r="E67" s="7">
        <v>5</v>
      </c>
      <c r="F67" s="7">
        <v>6</v>
      </c>
      <c r="G67" s="8">
        <v>5.0999999999999996</v>
      </c>
      <c r="L67" s="9"/>
    </row>
    <row r="68" spans="1:12" x14ac:dyDescent="0.25">
      <c r="A68" s="4">
        <v>65</v>
      </c>
      <c r="B68" s="7" t="s">
        <v>139</v>
      </c>
      <c r="C68" s="7" t="s">
        <v>65</v>
      </c>
      <c r="D68" s="7">
        <v>13</v>
      </c>
      <c r="E68" s="7">
        <v>5</v>
      </c>
      <c r="F68" s="7">
        <v>7</v>
      </c>
      <c r="G68" s="8">
        <v>4.5999999999999996</v>
      </c>
      <c r="L68" s="9"/>
    </row>
    <row r="69" spans="1:12" x14ac:dyDescent="0.25">
      <c r="A69" s="4">
        <v>66</v>
      </c>
      <c r="B69" s="4" t="s">
        <v>141</v>
      </c>
      <c r="C69" s="4" t="s">
        <v>65</v>
      </c>
      <c r="D69" s="4">
        <v>13</v>
      </c>
      <c r="E69" s="4">
        <v>2</v>
      </c>
      <c r="F69" s="4">
        <v>1</v>
      </c>
      <c r="G69" s="5">
        <v>5.2</v>
      </c>
      <c r="H69">
        <v>14.853840924541135</v>
      </c>
      <c r="I69">
        <v>85.146159075458854</v>
      </c>
      <c r="J69">
        <v>6.774668630339268</v>
      </c>
      <c r="K69">
        <v>20.290635618787174</v>
      </c>
      <c r="L69" s="9">
        <f t="shared" ref="L69:L97" si="1">100-(H69+J69+K69)</f>
        <v>58.080854826332427</v>
      </c>
    </row>
    <row r="70" spans="1:12" x14ac:dyDescent="0.25">
      <c r="A70" s="4">
        <v>67</v>
      </c>
      <c r="B70" s="4" t="s">
        <v>143</v>
      </c>
      <c r="C70" s="4" t="s">
        <v>65</v>
      </c>
      <c r="D70" s="4">
        <v>13</v>
      </c>
      <c r="E70" s="4">
        <v>2</v>
      </c>
      <c r="F70" s="4">
        <v>2</v>
      </c>
      <c r="G70" s="5">
        <v>9.6999999999999993</v>
      </c>
      <c r="H70">
        <v>32.156080888635721</v>
      </c>
      <c r="I70">
        <v>67.843919111364286</v>
      </c>
      <c r="J70">
        <v>5.7192589829670055</v>
      </c>
      <c r="K70">
        <v>17.03704185384845</v>
      </c>
      <c r="L70" s="9">
        <f t="shared" si="1"/>
        <v>45.087618274548824</v>
      </c>
    </row>
    <row r="71" spans="1:12" x14ac:dyDescent="0.25">
      <c r="A71" s="4">
        <v>68</v>
      </c>
      <c r="B71" s="4" t="s">
        <v>145</v>
      </c>
      <c r="C71" s="4" t="s">
        <v>65</v>
      </c>
      <c r="D71" s="4">
        <v>13</v>
      </c>
      <c r="E71" s="4">
        <v>2</v>
      </c>
      <c r="F71" s="4">
        <v>3</v>
      </c>
      <c r="G71" s="5">
        <v>5.0999999999999996</v>
      </c>
      <c r="H71">
        <v>14.808917197452226</v>
      </c>
      <c r="I71">
        <v>85.191082802547768</v>
      </c>
      <c r="J71">
        <v>5.0669562070214491</v>
      </c>
      <c r="K71">
        <v>15.674014244496172</v>
      </c>
      <c r="L71" s="9">
        <f t="shared" si="1"/>
        <v>64.450112351030157</v>
      </c>
    </row>
    <row r="72" spans="1:12" x14ac:dyDescent="0.25">
      <c r="A72" s="4">
        <v>69</v>
      </c>
      <c r="B72" s="4" t="s">
        <v>147</v>
      </c>
      <c r="C72" s="4" t="s">
        <v>65</v>
      </c>
      <c r="D72" s="4">
        <v>13</v>
      </c>
      <c r="E72" s="4">
        <v>2</v>
      </c>
      <c r="F72" s="4">
        <v>4</v>
      </c>
      <c r="G72" s="5">
        <v>5.7</v>
      </c>
      <c r="H72">
        <v>15.620932048945589</v>
      </c>
      <c r="I72">
        <v>84.379067951054409</v>
      </c>
      <c r="J72">
        <v>4.8283499446296583</v>
      </c>
      <c r="K72">
        <v>16.783219139774697</v>
      </c>
      <c r="L72" s="9">
        <f t="shared" si="1"/>
        <v>62.767498866650058</v>
      </c>
    </row>
    <row r="73" spans="1:12" x14ac:dyDescent="0.25">
      <c r="A73" s="4">
        <v>70</v>
      </c>
      <c r="B73" s="4" t="s">
        <v>149</v>
      </c>
      <c r="C73" s="4" t="s">
        <v>65</v>
      </c>
      <c r="D73" s="4">
        <v>13</v>
      </c>
      <c r="E73" s="4">
        <v>2</v>
      </c>
      <c r="F73" s="4">
        <v>5</v>
      </c>
      <c r="G73" s="5">
        <v>5.8</v>
      </c>
      <c r="H73">
        <v>19.023397761953149</v>
      </c>
      <c r="I73">
        <v>80.976602238046851</v>
      </c>
      <c r="J73">
        <v>4.6082949308761068</v>
      </c>
      <c r="K73">
        <v>14.045859426946629</v>
      </c>
      <c r="L73" s="9">
        <f t="shared" si="1"/>
        <v>62.322447880224118</v>
      </c>
    </row>
    <row r="74" spans="1:12" x14ac:dyDescent="0.25">
      <c r="A74" s="4">
        <v>71</v>
      </c>
      <c r="B74" s="7" t="s">
        <v>151</v>
      </c>
      <c r="C74" s="7" t="s">
        <v>65</v>
      </c>
      <c r="D74" s="7">
        <v>13</v>
      </c>
      <c r="E74" s="7">
        <v>2</v>
      </c>
      <c r="F74" s="7">
        <v>6</v>
      </c>
      <c r="G74" s="8">
        <v>6.3</v>
      </c>
      <c r="L74" s="9"/>
    </row>
    <row r="75" spans="1:12" x14ac:dyDescent="0.25">
      <c r="A75" s="4">
        <v>72</v>
      </c>
      <c r="B75" s="7" t="s">
        <v>153</v>
      </c>
      <c r="C75" s="7" t="s">
        <v>65</v>
      </c>
      <c r="D75" s="7">
        <v>13</v>
      </c>
      <c r="E75" s="7">
        <v>2</v>
      </c>
      <c r="F75" s="7">
        <v>7</v>
      </c>
      <c r="G75" s="8">
        <v>6.25</v>
      </c>
      <c r="L75" s="9"/>
    </row>
    <row r="76" spans="1:12" x14ac:dyDescent="0.25">
      <c r="A76" s="4">
        <v>73</v>
      </c>
      <c r="B76" s="7" t="s">
        <v>155</v>
      </c>
      <c r="C76" s="7" t="s">
        <v>65</v>
      </c>
      <c r="D76" s="7">
        <v>13</v>
      </c>
      <c r="E76" s="7">
        <v>2</v>
      </c>
      <c r="F76" s="7">
        <v>8</v>
      </c>
      <c r="G76" s="8">
        <v>8.5500000000000007</v>
      </c>
      <c r="L76" s="9"/>
    </row>
    <row r="77" spans="1:12" x14ac:dyDescent="0.25">
      <c r="A77" s="4">
        <v>74</v>
      </c>
      <c r="B77" s="4" t="s">
        <v>157</v>
      </c>
      <c r="C77" s="4" t="s">
        <v>65</v>
      </c>
      <c r="D77" s="4">
        <v>54</v>
      </c>
      <c r="E77" s="4">
        <v>9</v>
      </c>
      <c r="F77" s="4">
        <v>1</v>
      </c>
      <c r="G77" s="5">
        <v>6.3</v>
      </c>
      <c r="H77">
        <v>15.502958579881678</v>
      </c>
      <c r="I77">
        <v>84.497041420118322</v>
      </c>
      <c r="J77">
        <v>6.0288681570141289</v>
      </c>
      <c r="K77">
        <v>15.753935601168806</v>
      </c>
      <c r="L77" s="9">
        <f t="shared" si="1"/>
        <v>62.714237661935385</v>
      </c>
    </row>
    <row r="78" spans="1:12" x14ac:dyDescent="0.25">
      <c r="A78" s="4">
        <v>75</v>
      </c>
      <c r="B78" s="4" t="s">
        <v>159</v>
      </c>
      <c r="C78" s="4" t="s">
        <v>65</v>
      </c>
      <c r="D78" s="4">
        <v>54</v>
      </c>
      <c r="E78" s="4">
        <v>9</v>
      </c>
      <c r="F78" s="4">
        <v>2</v>
      </c>
      <c r="G78" s="5">
        <v>7.25</v>
      </c>
      <c r="H78">
        <v>20.304093567251478</v>
      </c>
      <c r="I78">
        <v>79.695906432748515</v>
      </c>
      <c r="J78">
        <v>6.1090530967703547</v>
      </c>
      <c r="K78">
        <v>14.977134088164249</v>
      </c>
      <c r="L78" s="9">
        <f t="shared" si="1"/>
        <v>58.609719247813921</v>
      </c>
    </row>
    <row r="79" spans="1:12" x14ac:dyDescent="0.25">
      <c r="A79" s="4">
        <v>76</v>
      </c>
      <c r="B79" s="4" t="s">
        <v>161</v>
      </c>
      <c r="C79" s="4" t="s">
        <v>65</v>
      </c>
      <c r="D79" s="4">
        <v>54</v>
      </c>
      <c r="E79" s="4">
        <v>9</v>
      </c>
      <c r="F79" s="4">
        <v>3</v>
      </c>
      <c r="G79" s="5">
        <v>10.75</v>
      </c>
      <c r="H79">
        <v>51.833607006020848</v>
      </c>
      <c r="I79">
        <v>48.166392993979159</v>
      </c>
      <c r="J79">
        <v>4.5500505561188991</v>
      </c>
      <c r="K79">
        <v>13.214980426640247</v>
      </c>
      <c r="L79" s="9">
        <f t="shared" si="1"/>
        <v>30.401362011220002</v>
      </c>
    </row>
    <row r="80" spans="1:12" x14ac:dyDescent="0.25">
      <c r="A80" s="4">
        <v>77</v>
      </c>
      <c r="B80" s="4" t="s">
        <v>163</v>
      </c>
      <c r="C80" s="4" t="s">
        <v>65</v>
      </c>
      <c r="D80" s="4">
        <v>54</v>
      </c>
      <c r="E80" s="4">
        <v>9</v>
      </c>
      <c r="F80" s="4">
        <v>4</v>
      </c>
      <c r="G80" s="5">
        <v>10</v>
      </c>
      <c r="H80">
        <v>16.290726817042611</v>
      </c>
      <c r="I80">
        <v>83.709273182957389</v>
      </c>
      <c r="J80">
        <v>5.8398010700029452</v>
      </c>
      <c r="K80">
        <v>16.430186551215915</v>
      </c>
      <c r="L80" s="9">
        <f t="shared" si="1"/>
        <v>61.439285561738529</v>
      </c>
    </row>
    <row r="81" spans="1:12" x14ac:dyDescent="0.25">
      <c r="A81" s="4">
        <v>78</v>
      </c>
      <c r="B81" s="4" t="s">
        <v>165</v>
      </c>
      <c r="C81" s="4" t="s">
        <v>65</v>
      </c>
      <c r="D81" s="4">
        <v>54</v>
      </c>
      <c r="E81" s="4">
        <v>9</v>
      </c>
      <c r="F81" s="4">
        <v>5</v>
      </c>
      <c r="G81" s="5">
        <v>8.25</v>
      </c>
      <c r="H81">
        <v>19.903359410952611</v>
      </c>
      <c r="I81">
        <v>80.096640589047382</v>
      </c>
      <c r="J81">
        <v>6.1750686118735985</v>
      </c>
      <c r="K81">
        <v>18.456925200425353</v>
      </c>
      <c r="L81" s="9">
        <f t="shared" si="1"/>
        <v>55.464646776748438</v>
      </c>
    </row>
    <row r="82" spans="1:12" x14ac:dyDescent="0.25">
      <c r="A82" s="4">
        <v>79</v>
      </c>
      <c r="B82" s="7" t="s">
        <v>167</v>
      </c>
      <c r="C82" s="7" t="s">
        <v>65</v>
      </c>
      <c r="D82" s="7">
        <v>54</v>
      </c>
      <c r="E82" s="7">
        <v>9</v>
      </c>
      <c r="F82" s="7">
        <v>6</v>
      </c>
      <c r="G82" s="8">
        <v>6.35</v>
      </c>
      <c r="L82" s="9"/>
    </row>
    <row r="83" spans="1:12" x14ac:dyDescent="0.25">
      <c r="A83" s="4">
        <v>80</v>
      </c>
      <c r="B83" s="7" t="s">
        <v>169</v>
      </c>
      <c r="C83" s="7" t="s">
        <v>65</v>
      </c>
      <c r="D83" s="7">
        <v>54</v>
      </c>
      <c r="E83" s="7">
        <v>9</v>
      </c>
      <c r="F83" s="7">
        <v>7</v>
      </c>
      <c r="G83" s="8">
        <v>4.7</v>
      </c>
      <c r="L83" s="9"/>
    </row>
    <row r="84" spans="1:12" x14ac:dyDescent="0.25">
      <c r="A84" s="4">
        <v>81</v>
      </c>
      <c r="B84" s="7" t="s">
        <v>171</v>
      </c>
      <c r="C84" s="7" t="s">
        <v>65</v>
      </c>
      <c r="D84" s="7">
        <v>54</v>
      </c>
      <c r="E84" s="7">
        <v>9</v>
      </c>
      <c r="F84" s="7">
        <v>8</v>
      </c>
      <c r="G84" s="8">
        <v>6.6</v>
      </c>
      <c r="L84" s="9"/>
    </row>
    <row r="85" spans="1:12" x14ac:dyDescent="0.25">
      <c r="A85" s="4">
        <v>82</v>
      </c>
      <c r="B85" s="4" t="s">
        <v>173</v>
      </c>
      <c r="C85" s="4" t="s">
        <v>65</v>
      </c>
      <c r="D85" s="4">
        <v>54</v>
      </c>
      <c r="E85" s="4">
        <v>6</v>
      </c>
      <c r="F85" s="4">
        <v>1</v>
      </c>
      <c r="G85" s="5">
        <v>5.9</v>
      </c>
      <c r="H85">
        <v>15.531475748193971</v>
      </c>
      <c r="I85">
        <v>84.468524251806031</v>
      </c>
      <c r="J85">
        <v>5.3043478260860866</v>
      </c>
      <c r="K85">
        <v>14.50905238230972</v>
      </c>
      <c r="L85" s="9">
        <f t="shared" si="1"/>
        <v>64.655124043410225</v>
      </c>
    </row>
    <row r="86" spans="1:12" x14ac:dyDescent="0.25">
      <c r="A86" s="4">
        <v>83</v>
      </c>
      <c r="B86" s="4" t="s">
        <v>175</v>
      </c>
      <c r="C86" s="4" t="s">
        <v>65</v>
      </c>
      <c r="D86" s="4">
        <v>54</v>
      </c>
      <c r="E86" s="4">
        <v>6</v>
      </c>
      <c r="F86" s="4">
        <v>2</v>
      </c>
      <c r="G86" s="5">
        <v>7.45</v>
      </c>
      <c r="H86">
        <v>17.897337359319234</v>
      </c>
      <c r="I86">
        <v>82.102662640680762</v>
      </c>
      <c r="J86">
        <v>4.56638826008927</v>
      </c>
      <c r="K86">
        <v>14.181087636314455</v>
      </c>
      <c r="L86" s="9">
        <f t="shared" si="1"/>
        <v>63.355186744277042</v>
      </c>
    </row>
    <row r="87" spans="1:12" x14ac:dyDescent="0.25">
      <c r="A87" s="4">
        <v>84</v>
      </c>
      <c r="B87" s="4" t="s">
        <v>177</v>
      </c>
      <c r="C87" s="4" t="s">
        <v>65</v>
      </c>
      <c r="D87" s="4">
        <v>54</v>
      </c>
      <c r="E87" s="4">
        <v>6</v>
      </c>
      <c r="F87" s="4">
        <v>3</v>
      </c>
      <c r="G87" s="5">
        <v>6</v>
      </c>
      <c r="H87">
        <v>15.704104202506796</v>
      </c>
      <c r="I87">
        <v>84.295895797493202</v>
      </c>
      <c r="J87">
        <v>5.2687941743414788</v>
      </c>
      <c r="K87">
        <v>14.268805094875239</v>
      </c>
      <c r="L87" s="9">
        <f t="shared" si="1"/>
        <v>64.758296528276489</v>
      </c>
    </row>
    <row r="88" spans="1:12" x14ac:dyDescent="0.25">
      <c r="A88" s="4">
        <v>85</v>
      </c>
      <c r="B88" s="4" t="s">
        <v>179</v>
      </c>
      <c r="C88" s="4" t="s">
        <v>65</v>
      </c>
      <c r="D88" s="4">
        <v>54</v>
      </c>
      <c r="E88" s="4">
        <v>6</v>
      </c>
      <c r="F88" s="4">
        <v>4</v>
      </c>
      <c r="G88" s="5">
        <v>5.05</v>
      </c>
      <c r="H88">
        <v>24.427672955974863</v>
      </c>
      <c r="I88">
        <v>75.57232704402513</v>
      </c>
      <c r="J88">
        <v>7.3282988516034093</v>
      </c>
      <c r="K88">
        <v>14.017397738581378</v>
      </c>
      <c r="L88" s="9">
        <f t="shared" si="1"/>
        <v>54.22663045384035</v>
      </c>
    </row>
    <row r="89" spans="1:12" x14ac:dyDescent="0.25">
      <c r="A89" s="4">
        <v>86</v>
      </c>
      <c r="B89" s="4" t="s">
        <v>181</v>
      </c>
      <c r="C89" s="4" t="s">
        <v>65</v>
      </c>
      <c r="D89" s="4">
        <v>54</v>
      </c>
      <c r="E89" s="4">
        <v>6</v>
      </c>
      <c r="F89" s="4">
        <v>5</v>
      </c>
      <c r="G89" s="5">
        <v>8.9</v>
      </c>
      <c r="H89">
        <v>15.883143049026165</v>
      </c>
      <c r="I89">
        <v>84.116856950973826</v>
      </c>
      <c r="J89">
        <v>6.7254816631731327</v>
      </c>
      <c r="K89">
        <v>19.638975919542805</v>
      </c>
      <c r="L89" s="9">
        <f t="shared" si="1"/>
        <v>57.752399368257898</v>
      </c>
    </row>
    <row r="90" spans="1:12" x14ac:dyDescent="0.25">
      <c r="A90" s="4">
        <v>87</v>
      </c>
      <c r="B90" s="7" t="s">
        <v>183</v>
      </c>
      <c r="C90" s="7" t="s">
        <v>65</v>
      </c>
      <c r="D90" s="7">
        <v>54</v>
      </c>
      <c r="E90" s="7">
        <v>6</v>
      </c>
      <c r="F90" s="7">
        <v>6</v>
      </c>
      <c r="G90" s="8">
        <v>8.6</v>
      </c>
      <c r="L90" s="9"/>
    </row>
    <row r="91" spans="1:12" x14ac:dyDescent="0.25">
      <c r="A91" s="4">
        <v>88</v>
      </c>
      <c r="B91" s="7" t="s">
        <v>185</v>
      </c>
      <c r="C91" s="7" t="s">
        <v>65</v>
      </c>
      <c r="D91" s="7">
        <v>54</v>
      </c>
      <c r="E91" s="7">
        <v>6</v>
      </c>
      <c r="F91" s="7">
        <v>7</v>
      </c>
      <c r="G91" s="8">
        <v>6.7</v>
      </c>
      <c r="L91" s="9"/>
    </row>
    <row r="92" spans="1:12" x14ac:dyDescent="0.25">
      <c r="A92" s="4">
        <v>89</v>
      </c>
      <c r="B92" s="7" t="s">
        <v>187</v>
      </c>
      <c r="C92" s="7" t="s">
        <v>65</v>
      </c>
      <c r="D92" s="7">
        <v>54</v>
      </c>
      <c r="E92" s="7">
        <v>6</v>
      </c>
      <c r="F92" s="7">
        <v>8</v>
      </c>
      <c r="G92" s="8">
        <v>6</v>
      </c>
      <c r="L92" s="9"/>
    </row>
    <row r="93" spans="1:12" x14ac:dyDescent="0.25">
      <c r="A93" s="4">
        <v>90</v>
      </c>
      <c r="B93" s="4" t="s">
        <v>189</v>
      </c>
      <c r="C93" s="4" t="s">
        <v>65</v>
      </c>
      <c r="D93" s="4">
        <v>54</v>
      </c>
      <c r="E93" s="4">
        <v>8</v>
      </c>
      <c r="F93" s="4">
        <v>1</v>
      </c>
      <c r="G93" s="5">
        <v>6.65</v>
      </c>
      <c r="H93">
        <v>19.676874849288641</v>
      </c>
      <c r="I93">
        <v>80.323125150711348</v>
      </c>
      <c r="J93">
        <v>5.8422904360735473</v>
      </c>
      <c r="K93">
        <v>13.318344576312183</v>
      </c>
      <c r="L93" s="9">
        <f t="shared" si="1"/>
        <v>61.16249013832563</v>
      </c>
    </row>
    <row r="94" spans="1:12" x14ac:dyDescent="0.25">
      <c r="A94" s="4">
        <v>91</v>
      </c>
      <c r="B94" s="4" t="s">
        <v>191</v>
      </c>
      <c r="C94" s="4" t="s">
        <v>65</v>
      </c>
      <c r="D94" s="4">
        <v>54</v>
      </c>
      <c r="E94" s="4">
        <v>8</v>
      </c>
      <c r="F94" s="4">
        <v>2</v>
      </c>
      <c r="G94" s="5">
        <v>7.55</v>
      </c>
      <c r="H94">
        <v>19.847119847119878</v>
      </c>
      <c r="I94">
        <v>80.15288015288013</v>
      </c>
      <c r="J94" t="e">
        <v>#VALUE!</v>
      </c>
      <c r="K94">
        <v>17.504783101449274</v>
      </c>
      <c r="L94" s="9" t="e">
        <f>100-(H94+J94+K94)</f>
        <v>#VALUE!</v>
      </c>
    </row>
    <row r="95" spans="1:12" x14ac:dyDescent="0.25">
      <c r="A95" s="4">
        <v>92</v>
      </c>
      <c r="B95" s="4" t="s">
        <v>193</v>
      </c>
      <c r="C95" s="4" t="s">
        <v>65</v>
      </c>
      <c r="D95" s="4">
        <v>54</v>
      </c>
      <c r="E95" s="4">
        <v>8</v>
      </c>
      <c r="F95" s="4">
        <v>3</v>
      </c>
      <c r="G95" s="5">
        <v>9.6</v>
      </c>
      <c r="H95">
        <v>31.10058637798825</v>
      </c>
      <c r="I95">
        <v>68.89941362201175</v>
      </c>
      <c r="J95">
        <v>5.3333333333337549</v>
      </c>
      <c r="K95">
        <v>13.720655276005818</v>
      </c>
      <c r="L95" s="9">
        <f t="shared" si="1"/>
        <v>49.84542501267218</v>
      </c>
    </row>
    <row r="96" spans="1:12" x14ac:dyDescent="0.25">
      <c r="A96" s="4">
        <v>93</v>
      </c>
      <c r="B96" s="4" t="s">
        <v>195</v>
      </c>
      <c r="C96" s="4" t="s">
        <v>65</v>
      </c>
      <c r="D96" s="4">
        <v>54</v>
      </c>
      <c r="E96" s="4">
        <v>8</v>
      </c>
      <c r="F96" s="4">
        <v>4</v>
      </c>
      <c r="G96" s="5">
        <v>7.3</v>
      </c>
      <c r="H96">
        <v>20.245842371655808</v>
      </c>
      <c r="I96">
        <v>79.754157628344188</v>
      </c>
      <c r="J96">
        <v>4.9689440993794989</v>
      </c>
      <c r="K96">
        <v>16.020024766775077</v>
      </c>
      <c r="L96" s="9">
        <f t="shared" si="1"/>
        <v>58.765188762189617</v>
      </c>
    </row>
    <row r="97" spans="1:12" x14ac:dyDescent="0.25">
      <c r="A97" s="4">
        <v>94</v>
      </c>
      <c r="B97" s="4" t="s">
        <v>197</v>
      </c>
      <c r="C97" s="4" t="s">
        <v>65</v>
      </c>
      <c r="D97" s="4">
        <v>54</v>
      </c>
      <c r="E97" s="4">
        <v>8</v>
      </c>
      <c r="F97" s="4">
        <v>5</v>
      </c>
      <c r="G97" s="5">
        <v>6.55</v>
      </c>
      <c r="H97">
        <v>32.20846645367412</v>
      </c>
      <c r="I97">
        <v>67.79153354632588</v>
      </c>
      <c r="J97">
        <v>6.3160987074039907</v>
      </c>
      <c r="K97">
        <v>16.539735641659806</v>
      </c>
      <c r="L97" s="9">
        <f t="shared" si="1"/>
        <v>44.935699197262082</v>
      </c>
    </row>
    <row r="98" spans="1:12" x14ac:dyDescent="0.25">
      <c r="A98" s="4">
        <v>95</v>
      </c>
      <c r="B98" s="7" t="s">
        <v>199</v>
      </c>
      <c r="C98" s="7" t="s">
        <v>65</v>
      </c>
      <c r="D98" s="7">
        <v>54</v>
      </c>
      <c r="E98" s="7">
        <v>8</v>
      </c>
      <c r="F98" s="7">
        <v>6</v>
      </c>
      <c r="G98" s="8">
        <v>6.85</v>
      </c>
      <c r="J98">
        <v>6.9270449520989477</v>
      </c>
      <c r="L98" s="9"/>
    </row>
    <row r="99" spans="1:12" x14ac:dyDescent="0.25">
      <c r="A99" s="4">
        <v>96</v>
      </c>
      <c r="B99" s="7" t="s">
        <v>201</v>
      </c>
      <c r="C99" s="7" t="s">
        <v>65</v>
      </c>
      <c r="D99" s="7">
        <v>54</v>
      </c>
      <c r="E99" s="7">
        <v>8</v>
      </c>
      <c r="F99" s="7">
        <v>7</v>
      </c>
      <c r="G99" s="8">
        <v>8.15</v>
      </c>
      <c r="L99" s="9"/>
    </row>
    <row r="100" spans="1:12" x14ac:dyDescent="0.25">
      <c r="A100" s="4">
        <v>97</v>
      </c>
      <c r="B100" s="7" t="s">
        <v>203</v>
      </c>
      <c r="C100" s="7" t="s">
        <v>65</v>
      </c>
      <c r="D100" s="7">
        <v>54</v>
      </c>
      <c r="E100" s="7">
        <v>8</v>
      </c>
      <c r="F100" s="7">
        <v>8</v>
      </c>
      <c r="G100" s="8">
        <v>6.4</v>
      </c>
      <c r="L100" s="9"/>
    </row>
  </sheetData>
  <mergeCells count="1">
    <mergeCell ref="A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E7FB-50AA-46AA-A94E-F8A8C0C7BBC1}">
  <dimension ref="A1:M98"/>
  <sheetViews>
    <sheetView topLeftCell="A40" workbookViewId="0">
      <selection activeCell="M57" sqref="M57"/>
    </sheetView>
  </sheetViews>
  <sheetFormatPr defaultRowHeight="15" x14ac:dyDescent="0.25"/>
  <cols>
    <col min="1" max="1" width="9.140625" customWidth="1"/>
    <col min="2" max="2" width="15.140625" bestFit="1" customWidth="1"/>
    <col min="3" max="3" width="12.85546875" customWidth="1"/>
    <col min="4" max="4" width="10.28515625" bestFit="1" customWidth="1"/>
    <col min="7" max="7" width="17.140625" customWidth="1"/>
    <col min="8" max="8" width="17" customWidth="1"/>
    <col min="9" max="9" width="14.7109375" customWidth="1"/>
    <col min="10" max="10" width="17.7109375" bestFit="1" customWidth="1"/>
    <col min="11" max="11" width="13.7109375" customWidth="1"/>
    <col min="12" max="12" width="14.5703125" bestFit="1" customWidth="1"/>
    <col min="13" max="13" width="15.28515625" bestFit="1" customWidth="1"/>
  </cols>
  <sheetData>
    <row r="1" spans="1:13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315</v>
      </c>
      <c r="G1" s="2" t="s">
        <v>7</v>
      </c>
      <c r="H1" t="s">
        <v>433</v>
      </c>
      <c r="I1" t="s">
        <v>432</v>
      </c>
      <c r="J1" t="s">
        <v>426</v>
      </c>
      <c r="K1" t="s">
        <v>440</v>
      </c>
      <c r="L1" t="s">
        <v>439</v>
      </c>
      <c r="M1" t="s">
        <v>438</v>
      </c>
    </row>
    <row r="2" spans="1:13" x14ac:dyDescent="0.25">
      <c r="A2" s="4">
        <v>1</v>
      </c>
      <c r="B2" s="4" t="s">
        <v>8</v>
      </c>
      <c r="C2" s="4" t="s">
        <v>9</v>
      </c>
      <c r="D2" s="4" t="s">
        <v>10</v>
      </c>
      <c r="E2" s="4">
        <v>1</v>
      </c>
      <c r="F2" s="4">
        <v>1</v>
      </c>
      <c r="G2" s="5">
        <v>6.65</v>
      </c>
      <c r="H2">
        <v>18.137353923447481</v>
      </c>
      <c r="I2">
        <v>6.8908883176245768</v>
      </c>
      <c r="J2">
        <v>76.147698407781419</v>
      </c>
      <c r="K2">
        <v>21.116883116883134</v>
      </c>
      <c r="L2">
        <v>78.88311688311687</v>
      </c>
      <c r="M2">
        <v>53.16274469780366</v>
      </c>
    </row>
    <row r="3" spans="1:13" x14ac:dyDescent="0.25">
      <c r="A3" s="4">
        <v>2</v>
      </c>
      <c r="B3" s="4" t="s">
        <v>12</v>
      </c>
      <c r="C3" s="4" t="s">
        <v>9</v>
      </c>
      <c r="D3" s="4" t="s">
        <v>10</v>
      </c>
      <c r="E3" s="4">
        <v>1</v>
      </c>
      <c r="F3" s="4">
        <v>2</v>
      </c>
      <c r="G3" s="5">
        <v>5.45</v>
      </c>
      <c r="H3" t="s">
        <v>443</v>
      </c>
      <c r="I3">
        <v>2.9820261437909235</v>
      </c>
      <c r="J3">
        <v>78.974411151243828</v>
      </c>
      <c r="K3">
        <v>25.792402613113918</v>
      </c>
      <c r="L3">
        <v>74.207597386886093</v>
      </c>
      <c r="M3" t="s">
        <v>443</v>
      </c>
    </row>
    <row r="4" spans="1:13" x14ac:dyDescent="0.25">
      <c r="A4" s="4">
        <v>3</v>
      </c>
      <c r="B4" s="4" t="s">
        <v>14</v>
      </c>
      <c r="C4" s="4" t="s">
        <v>9</v>
      </c>
      <c r="D4" s="4" t="s">
        <v>10</v>
      </c>
      <c r="E4" s="4">
        <v>1</v>
      </c>
      <c r="F4" s="4">
        <v>3</v>
      </c>
      <c r="G4" s="5">
        <v>5.75</v>
      </c>
      <c r="H4">
        <v>14.384187467930783</v>
      </c>
      <c r="I4">
        <v>6.2211981566816075</v>
      </c>
      <c r="J4">
        <v>77.874115129232294</v>
      </c>
      <c r="K4">
        <v>31.448412698412721</v>
      </c>
      <c r="L4">
        <v>68.551587301587276</v>
      </c>
      <c r="M4">
        <v>47.946201676974894</v>
      </c>
    </row>
    <row r="5" spans="1:13" x14ac:dyDescent="0.25">
      <c r="A5" s="4">
        <v>4</v>
      </c>
      <c r="B5" s="4" t="s">
        <v>16</v>
      </c>
      <c r="C5" s="4" t="s">
        <v>9</v>
      </c>
      <c r="D5" s="4" t="s">
        <v>10</v>
      </c>
      <c r="E5" s="4">
        <v>4</v>
      </c>
      <c r="F5" s="4">
        <v>1</v>
      </c>
      <c r="G5" s="5">
        <v>7.5</v>
      </c>
      <c r="H5">
        <v>11.920455976658953</v>
      </c>
      <c r="I5">
        <v>6.4901349948078932</v>
      </c>
      <c r="J5">
        <v>75.623476467279218</v>
      </c>
      <c r="K5">
        <v>17.769230769230742</v>
      </c>
      <c r="L5">
        <v>82.230769230769255</v>
      </c>
      <c r="M5">
        <v>62.914182886183156</v>
      </c>
    </row>
    <row r="6" spans="1:13" x14ac:dyDescent="0.25">
      <c r="A6" s="4">
        <v>5</v>
      </c>
      <c r="B6" s="4" t="s">
        <v>18</v>
      </c>
      <c r="C6" s="4" t="s">
        <v>9</v>
      </c>
      <c r="D6" s="4" t="s">
        <v>10</v>
      </c>
      <c r="E6" s="4">
        <v>4</v>
      </c>
      <c r="F6" s="4">
        <v>2</v>
      </c>
      <c r="G6" s="5">
        <v>7.3</v>
      </c>
      <c r="H6">
        <v>14.46120362724297</v>
      </c>
      <c r="I6">
        <v>4.9611734253670869</v>
      </c>
      <c r="J6">
        <v>77.673448095983318</v>
      </c>
      <c r="K6">
        <v>29.322429906542048</v>
      </c>
      <c r="L6">
        <v>70.677570093457959</v>
      </c>
      <c r="M6">
        <v>51.311081750518404</v>
      </c>
    </row>
    <row r="7" spans="1:13" x14ac:dyDescent="0.25">
      <c r="A7" s="4">
        <v>6</v>
      </c>
      <c r="B7" s="4" t="s">
        <v>20</v>
      </c>
      <c r="C7" s="4" t="s">
        <v>9</v>
      </c>
      <c r="D7" s="4" t="s">
        <v>10</v>
      </c>
      <c r="E7" s="4">
        <v>4</v>
      </c>
      <c r="F7" s="4">
        <v>3</v>
      </c>
      <c r="G7" s="5">
        <v>5.35</v>
      </c>
      <c r="H7">
        <v>17.76154120024875</v>
      </c>
      <c r="I7">
        <v>9.2638750415421214</v>
      </c>
      <c r="J7">
        <v>69.911753133606879</v>
      </c>
      <c r="K7">
        <v>35.00840650102748</v>
      </c>
      <c r="L7">
        <v>64.99159349897252</v>
      </c>
      <c r="M7">
        <v>37.966177257181648</v>
      </c>
    </row>
    <row r="8" spans="1:13" x14ac:dyDescent="0.25">
      <c r="A8" s="4">
        <v>7</v>
      </c>
      <c r="B8" s="4" t="s">
        <v>22</v>
      </c>
      <c r="C8" s="4" t="s">
        <v>9</v>
      </c>
      <c r="D8" s="4" t="s">
        <v>10</v>
      </c>
      <c r="E8" s="4">
        <v>7</v>
      </c>
      <c r="F8" s="4">
        <v>1</v>
      </c>
      <c r="G8" s="5">
        <v>6.3</v>
      </c>
      <c r="H8">
        <v>16.040978648820904</v>
      </c>
      <c r="I8">
        <v>6.4620995876946914</v>
      </c>
      <c r="J8">
        <v>73.126836434867784</v>
      </c>
      <c r="K8">
        <v>37.129840546697039</v>
      </c>
      <c r="L8">
        <v>62.870159453302961</v>
      </c>
      <c r="M8">
        <v>40.367081216787362</v>
      </c>
    </row>
    <row r="9" spans="1:13" x14ac:dyDescent="0.25">
      <c r="A9" s="4">
        <v>8</v>
      </c>
      <c r="B9" s="4" t="s">
        <v>24</v>
      </c>
      <c r="C9" s="4" t="s">
        <v>9</v>
      </c>
      <c r="D9" s="4" t="s">
        <v>10</v>
      </c>
      <c r="E9" s="4">
        <v>7</v>
      </c>
      <c r="F9" s="4">
        <v>2</v>
      </c>
      <c r="G9" s="5">
        <v>5.75</v>
      </c>
      <c r="H9">
        <v>15.877269667832168</v>
      </c>
      <c r="I9">
        <v>6.6246741963507372</v>
      </c>
      <c r="J9">
        <v>77.833448514167245</v>
      </c>
      <c r="K9">
        <v>15.796310730059751</v>
      </c>
      <c r="L9">
        <v>84.203689269940242</v>
      </c>
      <c r="M9">
        <v>61.701745405757343</v>
      </c>
    </row>
    <row r="10" spans="1:13" x14ac:dyDescent="0.25">
      <c r="A10" s="4">
        <v>9</v>
      </c>
      <c r="B10" s="4" t="s">
        <v>26</v>
      </c>
      <c r="C10" s="4" t="s">
        <v>9</v>
      </c>
      <c r="D10" s="4" t="s">
        <v>10</v>
      </c>
      <c r="E10" s="4">
        <v>7</v>
      </c>
      <c r="F10" s="4">
        <v>3</v>
      </c>
      <c r="G10" s="5">
        <v>5.65</v>
      </c>
      <c r="H10">
        <v>16.626342843760188</v>
      </c>
      <c r="I10">
        <v>6.9163292847498035</v>
      </c>
      <c r="J10">
        <v>73.735481453727985</v>
      </c>
      <c r="K10">
        <v>32.496433666191187</v>
      </c>
      <c r="L10">
        <v>67.503566333808806</v>
      </c>
      <c r="M10">
        <v>43.960894205298828</v>
      </c>
    </row>
    <row r="11" spans="1:13" x14ac:dyDescent="0.25">
      <c r="A11" s="4">
        <v>10</v>
      </c>
      <c r="B11" s="4" t="s">
        <v>28</v>
      </c>
      <c r="C11" s="4" t="s">
        <v>9</v>
      </c>
      <c r="D11" s="4">
        <v>13</v>
      </c>
      <c r="E11" s="4">
        <v>3</v>
      </c>
      <c r="F11" s="4">
        <v>1</v>
      </c>
      <c r="G11" s="5">
        <v>6.4</v>
      </c>
      <c r="H11">
        <v>17.54837810670934</v>
      </c>
      <c r="I11">
        <v>6.954038868933492</v>
      </c>
      <c r="J11">
        <v>76.373915330002632</v>
      </c>
      <c r="K11">
        <v>14.134668892598812</v>
      </c>
      <c r="L11">
        <v>85.86533110740119</v>
      </c>
      <c r="M11">
        <v>61.362914131758359</v>
      </c>
    </row>
    <row r="12" spans="1:13" x14ac:dyDescent="0.25">
      <c r="A12" s="4">
        <v>11</v>
      </c>
      <c r="B12" s="4" t="s">
        <v>30</v>
      </c>
      <c r="C12" s="4" t="s">
        <v>9</v>
      </c>
      <c r="D12" s="4">
        <v>13</v>
      </c>
      <c r="E12" s="4">
        <v>3</v>
      </c>
      <c r="F12" s="4">
        <v>2</v>
      </c>
      <c r="G12" s="5">
        <v>5.6</v>
      </c>
      <c r="H12">
        <v>15.065949988217024</v>
      </c>
      <c r="I12">
        <v>5.9648206199925573</v>
      </c>
      <c r="J12">
        <v>79.064576675290411</v>
      </c>
      <c r="K12">
        <v>21.371456263629735</v>
      </c>
      <c r="L12">
        <v>78.628543736370275</v>
      </c>
      <c r="M12">
        <v>57.597773128160682</v>
      </c>
    </row>
    <row r="13" spans="1:13" x14ac:dyDescent="0.25">
      <c r="A13" s="4">
        <v>12</v>
      </c>
      <c r="B13" s="4" t="s">
        <v>32</v>
      </c>
      <c r="C13" s="4" t="s">
        <v>9</v>
      </c>
      <c r="D13" s="4">
        <v>13</v>
      </c>
      <c r="E13" s="4">
        <v>3</v>
      </c>
      <c r="F13" s="4">
        <v>3</v>
      </c>
      <c r="G13" s="5">
        <v>5.4</v>
      </c>
      <c r="H13">
        <v>14.46740698322777</v>
      </c>
      <c r="I13">
        <v>6.4149560117306228</v>
      </c>
      <c r="J13">
        <v>78.788549914179725</v>
      </c>
      <c r="K13">
        <v>17.7760375880971</v>
      </c>
      <c r="L13">
        <v>82.223962411902903</v>
      </c>
      <c r="M13">
        <v>61.341599416944504</v>
      </c>
    </row>
    <row r="14" spans="1:13" x14ac:dyDescent="0.25">
      <c r="A14" s="4">
        <v>13</v>
      </c>
      <c r="B14" s="4" t="s">
        <v>34</v>
      </c>
      <c r="C14" s="4" t="s">
        <v>9</v>
      </c>
      <c r="D14" s="4">
        <v>13</v>
      </c>
      <c r="E14" s="4">
        <v>5</v>
      </c>
      <c r="F14" s="4">
        <v>1</v>
      </c>
      <c r="G14" s="5">
        <v>7.75</v>
      </c>
      <c r="H14">
        <v>17.387279469285247</v>
      </c>
      <c r="I14">
        <v>6.6345470342006587</v>
      </c>
      <c r="J14">
        <v>78.052618328298095</v>
      </c>
      <c r="K14">
        <v>20.303986234585594</v>
      </c>
      <c r="L14">
        <v>79.696013765414392</v>
      </c>
      <c r="M14">
        <v>55.674187261928502</v>
      </c>
    </row>
    <row r="15" spans="1:13" x14ac:dyDescent="0.25">
      <c r="A15" s="4">
        <v>14</v>
      </c>
      <c r="B15" s="4" t="s">
        <v>36</v>
      </c>
      <c r="C15" s="4" t="s">
        <v>9</v>
      </c>
      <c r="D15" s="4">
        <v>13</v>
      </c>
      <c r="E15" s="4">
        <v>5</v>
      </c>
      <c r="F15" s="4">
        <v>2</v>
      </c>
      <c r="G15" s="5">
        <v>5.35</v>
      </c>
      <c r="H15">
        <v>15.98192781211549</v>
      </c>
      <c r="I15">
        <v>7.3818897637778988</v>
      </c>
      <c r="J15">
        <v>76.814647604715319</v>
      </c>
      <c r="K15">
        <v>22.43617481609693</v>
      </c>
      <c r="L15">
        <v>77.563825183903063</v>
      </c>
      <c r="M15">
        <v>54.200007608009685</v>
      </c>
    </row>
    <row r="16" spans="1:13" x14ac:dyDescent="0.25">
      <c r="A16" s="4">
        <v>15</v>
      </c>
      <c r="B16" s="4" t="s">
        <v>38</v>
      </c>
      <c r="C16" s="4" t="s">
        <v>9</v>
      </c>
      <c r="D16" s="4">
        <v>13</v>
      </c>
      <c r="E16" s="4">
        <v>5</v>
      </c>
      <c r="F16" s="4">
        <v>3</v>
      </c>
      <c r="G16" s="5">
        <v>5.2</v>
      </c>
      <c r="H16">
        <v>15.888077876693195</v>
      </c>
      <c r="I16">
        <v>5.8017797941019351</v>
      </c>
      <c r="J16">
        <v>80.001158010537878</v>
      </c>
      <c r="K16">
        <v>13.983786913723211</v>
      </c>
      <c r="L16">
        <v>86.016213086276792</v>
      </c>
      <c r="M16">
        <v>64.326355415481657</v>
      </c>
    </row>
    <row r="17" spans="1:13" x14ac:dyDescent="0.25">
      <c r="A17" s="4">
        <v>16</v>
      </c>
      <c r="B17" s="4" t="s">
        <v>40</v>
      </c>
      <c r="C17" s="4" t="s">
        <v>9</v>
      </c>
      <c r="D17" s="4">
        <v>13</v>
      </c>
      <c r="E17" s="4">
        <v>2</v>
      </c>
      <c r="F17" s="4">
        <v>1</v>
      </c>
      <c r="G17" s="5">
        <v>6.5</v>
      </c>
      <c r="H17">
        <v>13.396727254129965</v>
      </c>
      <c r="I17">
        <v>6.1909416748125672</v>
      </c>
      <c r="J17">
        <v>76.501985289331515</v>
      </c>
      <c r="K17">
        <v>25.54016620498615</v>
      </c>
      <c r="L17">
        <v>74.45983379501385</v>
      </c>
      <c r="M17">
        <v>52.802338759509048</v>
      </c>
    </row>
    <row r="18" spans="1:13" x14ac:dyDescent="0.25">
      <c r="A18" s="4">
        <v>17</v>
      </c>
      <c r="B18" s="4" t="s">
        <v>42</v>
      </c>
      <c r="C18" s="4" t="s">
        <v>9</v>
      </c>
      <c r="D18" s="4">
        <v>13</v>
      </c>
      <c r="E18" s="4">
        <v>2</v>
      </c>
      <c r="F18" s="4">
        <v>2</v>
      </c>
      <c r="G18" s="5">
        <v>6.35</v>
      </c>
      <c r="H18">
        <v>16.345848067151785</v>
      </c>
      <c r="I18">
        <v>6.8548387096786856</v>
      </c>
      <c r="J18">
        <v>77.089128741515523</v>
      </c>
      <c r="K18">
        <v>19.815444390480803</v>
      </c>
      <c r="L18">
        <v>80.184555609519194</v>
      </c>
      <c r="M18">
        <v>54.276274367577699</v>
      </c>
    </row>
    <row r="19" spans="1:13" x14ac:dyDescent="0.25">
      <c r="A19" s="4">
        <v>18</v>
      </c>
      <c r="B19" s="4" t="s">
        <v>44</v>
      </c>
      <c r="C19" s="4" t="s">
        <v>9</v>
      </c>
      <c r="D19" s="4">
        <v>13</v>
      </c>
      <c r="E19" s="4">
        <v>2</v>
      </c>
      <c r="F19" s="4">
        <v>3</v>
      </c>
      <c r="G19" s="5">
        <v>4.05</v>
      </c>
      <c r="H19">
        <v>14.455366527899502</v>
      </c>
      <c r="I19">
        <v>5.66037735849127</v>
      </c>
      <c r="J19">
        <v>79.757308328736897</v>
      </c>
      <c r="K19">
        <v>29.873668565766661</v>
      </c>
      <c r="L19">
        <v>70.126331434233336</v>
      </c>
      <c r="M19">
        <v>50.010587547842569</v>
      </c>
    </row>
    <row r="20" spans="1:13" x14ac:dyDescent="0.25">
      <c r="A20" s="4">
        <v>19</v>
      </c>
      <c r="B20" s="4" t="s">
        <v>46</v>
      </c>
      <c r="C20" s="4" t="s">
        <v>9</v>
      </c>
      <c r="D20" s="4">
        <v>54</v>
      </c>
      <c r="E20" s="4">
        <v>9</v>
      </c>
      <c r="F20" s="4">
        <v>1</v>
      </c>
      <c r="G20" s="5">
        <v>5.65</v>
      </c>
      <c r="H20">
        <v>14.266343788513149</v>
      </c>
      <c r="I20">
        <v>7.3186959414513399</v>
      </c>
      <c r="J20">
        <v>75.421348314606746</v>
      </c>
      <c r="K20">
        <v>25.863354037267069</v>
      </c>
      <c r="L20">
        <v>74.136645962732928</v>
      </c>
      <c r="M20">
        <v>52.620194424059363</v>
      </c>
    </row>
    <row r="21" spans="1:13" x14ac:dyDescent="0.25">
      <c r="A21" s="4">
        <v>20</v>
      </c>
      <c r="B21" s="4" t="s">
        <v>48</v>
      </c>
      <c r="C21" s="4" t="s">
        <v>9</v>
      </c>
      <c r="D21" s="4">
        <v>54</v>
      </c>
      <c r="E21" s="4">
        <v>9</v>
      </c>
      <c r="F21" s="4">
        <v>2</v>
      </c>
      <c r="G21" s="5">
        <v>4.5</v>
      </c>
      <c r="H21">
        <v>17.736161439255188</v>
      </c>
      <c r="I21">
        <v>6.6109951287423332</v>
      </c>
      <c r="J21">
        <v>75.397313647082953</v>
      </c>
      <c r="K21">
        <v>27.297353615336551</v>
      </c>
      <c r="L21">
        <v>72.702646384663453</v>
      </c>
      <c r="M21">
        <v>48.355489816665923</v>
      </c>
    </row>
    <row r="22" spans="1:13" x14ac:dyDescent="0.25">
      <c r="A22" s="4">
        <v>21</v>
      </c>
      <c r="B22" s="4" t="s">
        <v>50</v>
      </c>
      <c r="C22" s="4" t="s">
        <v>9</v>
      </c>
      <c r="D22" s="4">
        <v>54</v>
      </c>
      <c r="E22" s="4">
        <v>9</v>
      </c>
      <c r="F22" s="4">
        <v>3</v>
      </c>
      <c r="G22" s="5">
        <v>6</v>
      </c>
      <c r="H22">
        <v>12.985785539534078</v>
      </c>
      <c r="I22">
        <v>7.1138211382113834</v>
      </c>
      <c r="J22">
        <v>76.604477611940311</v>
      </c>
      <c r="K22">
        <v>34.062428799270911</v>
      </c>
      <c r="L22">
        <v>65.937571200729096</v>
      </c>
      <c r="M22">
        <v>45.837964522983626</v>
      </c>
    </row>
    <row r="23" spans="1:13" x14ac:dyDescent="0.25">
      <c r="A23" s="4">
        <v>22</v>
      </c>
      <c r="B23" s="4" t="s">
        <v>52</v>
      </c>
      <c r="C23" s="4" t="s">
        <v>9</v>
      </c>
      <c r="D23" s="4">
        <v>54</v>
      </c>
      <c r="E23" s="4">
        <v>6</v>
      </c>
      <c r="F23" s="4">
        <v>1</v>
      </c>
      <c r="G23" s="5">
        <v>6.65</v>
      </c>
      <c r="H23">
        <v>15.150892594730353</v>
      </c>
      <c r="I23">
        <v>5.295566502464772</v>
      </c>
      <c r="J23">
        <v>75.44925021687942</v>
      </c>
      <c r="K23">
        <v>33.139828369510333</v>
      </c>
      <c r="L23">
        <v>66.860171630489674</v>
      </c>
      <c r="M23">
        <v>45.484771795621086</v>
      </c>
    </row>
    <row r="24" spans="1:13" x14ac:dyDescent="0.25">
      <c r="A24" s="4">
        <v>23</v>
      </c>
      <c r="B24" s="4" t="s">
        <v>54</v>
      </c>
      <c r="C24" s="4" t="s">
        <v>9</v>
      </c>
      <c r="D24" s="4">
        <v>54</v>
      </c>
      <c r="E24" s="4">
        <v>6</v>
      </c>
      <c r="F24" s="4">
        <v>2</v>
      </c>
      <c r="G24" s="5">
        <v>5.55</v>
      </c>
      <c r="H24">
        <v>14.169392760177907</v>
      </c>
      <c r="I24">
        <v>4.7511312217185662</v>
      </c>
      <c r="J24">
        <v>81.222605341593137</v>
      </c>
      <c r="K24">
        <v>14.939309056956102</v>
      </c>
      <c r="L24">
        <v>85.060690943043895</v>
      </c>
      <c r="M24">
        <v>66.140166961147429</v>
      </c>
    </row>
    <row r="25" spans="1:13" x14ac:dyDescent="0.25">
      <c r="A25" s="4">
        <v>24</v>
      </c>
      <c r="B25" s="4" t="s">
        <v>56</v>
      </c>
      <c r="C25" s="4" t="s">
        <v>9</v>
      </c>
      <c r="D25" s="4">
        <v>54</v>
      </c>
      <c r="E25" s="4">
        <v>6</v>
      </c>
      <c r="F25" s="4">
        <v>3</v>
      </c>
      <c r="G25" s="5">
        <v>5.4</v>
      </c>
      <c r="H25">
        <v>15.664333674768518</v>
      </c>
      <c r="I25">
        <v>6.9649295313023298</v>
      </c>
      <c r="J25">
        <v>74.536709577026457</v>
      </c>
      <c r="K25">
        <v>22.111111111111054</v>
      </c>
      <c r="L25">
        <v>77.888888888888943</v>
      </c>
      <c r="M25">
        <v>54.725787631584517</v>
      </c>
    </row>
    <row r="26" spans="1:13" x14ac:dyDescent="0.25">
      <c r="A26" s="4">
        <v>25</v>
      </c>
      <c r="B26" s="4" t="s">
        <v>58</v>
      </c>
      <c r="C26" s="4" t="s">
        <v>9</v>
      </c>
      <c r="D26" s="4">
        <v>54</v>
      </c>
      <c r="E26" s="4">
        <v>8</v>
      </c>
      <c r="F26" s="4">
        <v>1</v>
      </c>
      <c r="G26" s="5">
        <v>5.85</v>
      </c>
      <c r="H26">
        <v>12.474350688668348</v>
      </c>
      <c r="I26">
        <v>4.6978895634583022</v>
      </c>
      <c r="J26">
        <v>69.543605964753738</v>
      </c>
      <c r="K26">
        <v>50.906693043191552</v>
      </c>
      <c r="L26">
        <v>49.093306956808441</v>
      </c>
      <c r="M26">
        <v>32.858823836871906</v>
      </c>
    </row>
    <row r="27" spans="1:13" x14ac:dyDescent="0.25">
      <c r="A27" s="4">
        <v>26</v>
      </c>
      <c r="B27" s="4" t="s">
        <v>60</v>
      </c>
      <c r="C27" s="4" t="s">
        <v>9</v>
      </c>
      <c r="D27" s="4">
        <v>54</v>
      </c>
      <c r="E27" s="4">
        <v>8</v>
      </c>
      <c r="F27" s="4">
        <v>2</v>
      </c>
      <c r="G27" s="5">
        <v>5.45</v>
      </c>
      <c r="H27">
        <v>15.414132372420635</v>
      </c>
      <c r="I27">
        <v>9.1697360343781771</v>
      </c>
      <c r="J27">
        <v>76.470253991704055</v>
      </c>
      <c r="K27">
        <v>26.805119536343895</v>
      </c>
      <c r="L27">
        <v>73.194880463656105</v>
      </c>
      <c r="M27">
        <v>50.367052453715338</v>
      </c>
    </row>
    <row r="28" spans="1:13" x14ac:dyDescent="0.25">
      <c r="A28" s="4">
        <v>27</v>
      </c>
      <c r="B28" s="4" t="s">
        <v>62</v>
      </c>
      <c r="C28" s="4" t="s">
        <v>9</v>
      </c>
      <c r="D28" s="4">
        <v>54</v>
      </c>
      <c r="E28" s="4">
        <v>8</v>
      </c>
      <c r="F28" s="4">
        <v>3</v>
      </c>
      <c r="G28" s="5">
        <v>5.45</v>
      </c>
      <c r="H28">
        <v>15.739025461742907</v>
      </c>
      <c r="I28">
        <v>7.190265486724992</v>
      </c>
      <c r="J28">
        <v>77.658712291760452</v>
      </c>
      <c r="K28">
        <v>16.041918581217256</v>
      </c>
      <c r="L28">
        <v>83.958081418782754</v>
      </c>
      <c r="M28">
        <v>60.027216122749394</v>
      </c>
    </row>
    <row r="29" spans="1:13" x14ac:dyDescent="0.25">
      <c r="A29" s="4">
        <v>28</v>
      </c>
      <c r="B29" s="4" t="s">
        <v>64</v>
      </c>
      <c r="C29" s="4" t="s">
        <v>65</v>
      </c>
      <c r="D29" s="4" t="s">
        <v>10</v>
      </c>
      <c r="E29" s="4">
        <v>1</v>
      </c>
      <c r="F29" s="4">
        <v>1</v>
      </c>
      <c r="G29" s="5">
        <v>5.45</v>
      </c>
      <c r="H29">
        <v>14.325341874271555</v>
      </c>
      <c r="I29">
        <v>7.1649484536099335</v>
      </c>
      <c r="J29">
        <v>81.59876754536117</v>
      </c>
      <c r="K29">
        <v>20.697674418604663</v>
      </c>
      <c r="L29">
        <v>79.302325581395337</v>
      </c>
      <c r="M29">
        <v>57.812035253513848</v>
      </c>
    </row>
    <row r="30" spans="1:13" x14ac:dyDescent="0.25">
      <c r="A30" s="4">
        <v>29</v>
      </c>
      <c r="B30" s="4" t="s">
        <v>67</v>
      </c>
      <c r="C30" s="4" t="s">
        <v>65</v>
      </c>
      <c r="D30" s="4" t="s">
        <v>10</v>
      </c>
      <c r="E30" s="4">
        <v>1</v>
      </c>
      <c r="F30" s="4">
        <v>2</v>
      </c>
      <c r="G30" s="5">
        <v>5.5</v>
      </c>
      <c r="H30">
        <v>16.914102223926385</v>
      </c>
      <c r="I30">
        <v>5.5953446732318701</v>
      </c>
      <c r="J30">
        <v>80.51144910579977</v>
      </c>
      <c r="K30">
        <v>19.039451114922809</v>
      </c>
      <c r="L30">
        <v>80.960548885077188</v>
      </c>
      <c r="M30">
        <v>58.451101987918932</v>
      </c>
    </row>
    <row r="31" spans="1:13" x14ac:dyDescent="0.25">
      <c r="A31" s="4">
        <v>30</v>
      </c>
      <c r="B31" s="4" t="s">
        <v>69</v>
      </c>
      <c r="C31" s="4" t="s">
        <v>65</v>
      </c>
      <c r="D31" s="4" t="s">
        <v>10</v>
      </c>
      <c r="E31" s="4">
        <v>1</v>
      </c>
      <c r="F31" s="4">
        <v>3</v>
      </c>
      <c r="G31" s="5">
        <v>5</v>
      </c>
      <c r="H31">
        <v>12.996767822128859</v>
      </c>
      <c r="I31">
        <v>4.618320610687161</v>
      </c>
      <c r="J31">
        <v>69.112967382657118</v>
      </c>
      <c r="K31">
        <v>60.914359304571789</v>
      </c>
      <c r="L31">
        <v>39.085640695428211</v>
      </c>
      <c r="M31">
        <v>21.470552262612188</v>
      </c>
    </row>
    <row r="32" spans="1:13" x14ac:dyDescent="0.25">
      <c r="A32" s="4">
        <v>31</v>
      </c>
      <c r="B32" s="4" t="s">
        <v>71</v>
      </c>
      <c r="C32" s="4" t="s">
        <v>65</v>
      </c>
      <c r="D32" s="4" t="s">
        <v>10</v>
      </c>
      <c r="E32" s="4">
        <v>1</v>
      </c>
      <c r="F32" s="4">
        <v>4</v>
      </c>
      <c r="G32" s="5">
        <v>8.75</v>
      </c>
      <c r="H32">
        <v>22.013092760784815</v>
      </c>
      <c r="I32">
        <v>5.7894736842098631</v>
      </c>
      <c r="J32">
        <v>79.810862937846068</v>
      </c>
      <c r="K32">
        <v>23.081664098613267</v>
      </c>
      <c r="L32">
        <v>76.91833590138674</v>
      </c>
      <c r="M32">
        <v>52.01641164328246</v>
      </c>
    </row>
    <row r="33" spans="1:13" x14ac:dyDescent="0.25">
      <c r="A33" s="4">
        <v>32</v>
      </c>
      <c r="B33" s="4" t="s">
        <v>73</v>
      </c>
      <c r="C33" s="4" t="s">
        <v>65</v>
      </c>
      <c r="D33" s="4" t="s">
        <v>10</v>
      </c>
      <c r="E33" s="4">
        <v>1</v>
      </c>
      <c r="F33" s="4">
        <v>5</v>
      </c>
      <c r="G33" s="5">
        <v>5.15</v>
      </c>
      <c r="H33">
        <v>18.471780363606459</v>
      </c>
      <c r="I33" t="s">
        <v>443</v>
      </c>
      <c r="J33">
        <v>78.361800509578188</v>
      </c>
      <c r="K33">
        <v>18.883558656781528</v>
      </c>
      <c r="L33">
        <v>81.116441343218483</v>
      </c>
      <c r="M33" t="s">
        <v>443</v>
      </c>
    </row>
    <row r="34" spans="1:13" x14ac:dyDescent="0.25">
      <c r="A34" s="4">
        <v>33</v>
      </c>
      <c r="B34" s="7" t="s">
        <v>75</v>
      </c>
      <c r="C34" s="7" t="s">
        <v>65</v>
      </c>
      <c r="D34" s="7" t="s">
        <v>10</v>
      </c>
      <c r="E34" s="7">
        <v>1</v>
      </c>
      <c r="F34" s="7">
        <v>6</v>
      </c>
      <c r="G34" s="8">
        <v>6</v>
      </c>
    </row>
    <row r="35" spans="1:13" x14ac:dyDescent="0.25">
      <c r="A35" s="4">
        <v>34</v>
      </c>
      <c r="B35" s="7" t="s">
        <v>77</v>
      </c>
      <c r="C35" s="7" t="s">
        <v>65</v>
      </c>
      <c r="D35" s="7" t="s">
        <v>10</v>
      </c>
      <c r="E35" s="7">
        <v>1</v>
      </c>
      <c r="F35" s="7">
        <v>7</v>
      </c>
      <c r="G35" s="8">
        <v>8.25</v>
      </c>
    </row>
    <row r="36" spans="1:13" x14ac:dyDescent="0.25">
      <c r="A36" s="4">
        <v>35</v>
      </c>
      <c r="B36" s="7" t="s">
        <v>79</v>
      </c>
      <c r="C36" s="7" t="s">
        <v>65</v>
      </c>
      <c r="D36" s="7" t="s">
        <v>10</v>
      </c>
      <c r="E36" s="7">
        <v>1</v>
      </c>
      <c r="F36" s="7">
        <v>8</v>
      </c>
      <c r="G36" s="8">
        <v>7.55</v>
      </c>
    </row>
    <row r="37" spans="1:13" x14ac:dyDescent="0.25">
      <c r="A37" s="4">
        <v>36</v>
      </c>
      <c r="B37" s="4" t="s">
        <v>81</v>
      </c>
      <c r="C37" s="4" t="s">
        <v>65</v>
      </c>
      <c r="D37" s="4" t="s">
        <v>10</v>
      </c>
      <c r="E37" s="4">
        <v>4</v>
      </c>
      <c r="F37" s="4">
        <v>1</v>
      </c>
      <c r="G37" s="5">
        <v>7.3</v>
      </c>
      <c r="H37">
        <v>17.510826075268813</v>
      </c>
      <c r="I37">
        <v>6.2141491395802229</v>
      </c>
      <c r="J37">
        <v>79.663123873453927</v>
      </c>
      <c r="K37">
        <v>19.529339853300744</v>
      </c>
      <c r="L37">
        <v>80.470660146699245</v>
      </c>
      <c r="M37">
        <v>56.745684931850221</v>
      </c>
    </row>
    <row r="38" spans="1:13" x14ac:dyDescent="0.25">
      <c r="A38" s="4">
        <v>37</v>
      </c>
      <c r="B38" s="4" t="s">
        <v>83</v>
      </c>
      <c r="C38" s="4" t="s">
        <v>65</v>
      </c>
      <c r="D38" s="4" t="s">
        <v>10</v>
      </c>
      <c r="E38" s="4">
        <v>4</v>
      </c>
      <c r="F38" s="4">
        <v>2</v>
      </c>
      <c r="G38" s="5">
        <v>8.15</v>
      </c>
      <c r="H38">
        <v>14.779284184587809</v>
      </c>
      <c r="I38">
        <v>6.3306451612909838</v>
      </c>
      <c r="J38">
        <v>78.94465894465894</v>
      </c>
      <c r="K38">
        <v>18.484107579462105</v>
      </c>
      <c r="L38">
        <v>81.515892420537895</v>
      </c>
      <c r="M38">
        <v>60.405963074659098</v>
      </c>
    </row>
    <row r="39" spans="1:13" x14ac:dyDescent="0.25">
      <c r="A39" s="4">
        <v>38</v>
      </c>
      <c r="B39" s="4" t="s">
        <v>85</v>
      </c>
      <c r="C39" s="4" t="s">
        <v>65</v>
      </c>
      <c r="D39" s="4" t="s">
        <v>10</v>
      </c>
      <c r="E39" s="4">
        <v>4</v>
      </c>
      <c r="F39" s="4">
        <v>3</v>
      </c>
      <c r="G39" s="5">
        <v>6.95</v>
      </c>
      <c r="H39">
        <v>18.521034933916933</v>
      </c>
      <c r="I39">
        <v>5.0520833333322903</v>
      </c>
      <c r="J39">
        <v>82.278248067721762</v>
      </c>
      <c r="K39">
        <v>18.553132571824168</v>
      </c>
      <c r="L39">
        <v>81.446867428175835</v>
      </c>
      <c r="M39">
        <v>57.873749160926607</v>
      </c>
    </row>
    <row r="40" spans="1:13" x14ac:dyDescent="0.25">
      <c r="A40" s="4">
        <v>39</v>
      </c>
      <c r="B40" s="4" t="s">
        <v>87</v>
      </c>
      <c r="C40" s="4" t="s">
        <v>65</v>
      </c>
      <c r="D40" s="4" t="s">
        <v>10</v>
      </c>
      <c r="E40" s="4">
        <v>4</v>
      </c>
      <c r="F40" s="4">
        <v>4</v>
      </c>
      <c r="G40" s="5">
        <v>6.1</v>
      </c>
      <c r="H40">
        <v>13.909934968168358</v>
      </c>
      <c r="I40">
        <v>4.8962655601652969</v>
      </c>
      <c r="J40">
        <v>83.392259024934887</v>
      </c>
      <c r="K40">
        <v>18.319327731092461</v>
      </c>
      <c r="L40">
        <v>81.680672268907543</v>
      </c>
      <c r="M40">
        <v>62.38725860683769</v>
      </c>
    </row>
    <row r="41" spans="1:13" x14ac:dyDescent="0.25">
      <c r="A41" s="4">
        <v>40</v>
      </c>
      <c r="B41" s="4" t="s">
        <v>89</v>
      </c>
      <c r="C41" s="4" t="s">
        <v>65</v>
      </c>
      <c r="D41" s="4" t="s">
        <v>10</v>
      </c>
      <c r="E41" s="4">
        <v>4</v>
      </c>
      <c r="F41" s="4">
        <v>5</v>
      </c>
      <c r="G41" s="5">
        <v>4.1500000000000004</v>
      </c>
      <c r="H41">
        <v>19.299056574294926</v>
      </c>
      <c r="I41">
        <v>6.2836624775587566</v>
      </c>
      <c r="J41">
        <v>78.010195113376696</v>
      </c>
      <c r="K41">
        <v>19.797495337063662</v>
      </c>
      <c r="L41">
        <v>80.202504662936335</v>
      </c>
      <c r="M41">
        <v>54.301960342704511</v>
      </c>
    </row>
    <row r="42" spans="1:13" x14ac:dyDescent="0.25">
      <c r="A42" s="4">
        <v>41</v>
      </c>
      <c r="B42" s="7" t="s">
        <v>91</v>
      </c>
      <c r="C42" s="7" t="s">
        <v>65</v>
      </c>
      <c r="D42" s="7" t="s">
        <v>10</v>
      </c>
      <c r="E42" s="7">
        <v>4</v>
      </c>
      <c r="F42" s="7">
        <v>6</v>
      </c>
      <c r="G42" s="8">
        <v>5.3</v>
      </c>
    </row>
    <row r="43" spans="1:13" x14ac:dyDescent="0.25">
      <c r="A43" s="4">
        <v>42</v>
      </c>
      <c r="B43" s="7" t="s">
        <v>93</v>
      </c>
      <c r="C43" s="7" t="s">
        <v>65</v>
      </c>
      <c r="D43" s="7" t="s">
        <v>10</v>
      </c>
      <c r="E43" s="7">
        <v>4</v>
      </c>
      <c r="F43" s="7">
        <v>7</v>
      </c>
      <c r="G43" s="8">
        <v>7.4</v>
      </c>
    </row>
    <row r="44" spans="1:13" x14ac:dyDescent="0.25">
      <c r="A44" s="4">
        <v>43</v>
      </c>
      <c r="B44" s="7" t="s">
        <v>95</v>
      </c>
      <c r="C44" s="7" t="s">
        <v>65</v>
      </c>
      <c r="D44" s="7" t="s">
        <v>10</v>
      </c>
      <c r="E44" s="7">
        <v>4</v>
      </c>
      <c r="F44" s="7">
        <v>8</v>
      </c>
      <c r="G44" s="8">
        <v>7.95</v>
      </c>
    </row>
    <row r="45" spans="1:13" x14ac:dyDescent="0.25">
      <c r="A45" s="4">
        <v>44</v>
      </c>
      <c r="B45" s="4" t="s">
        <v>97</v>
      </c>
      <c r="C45" s="4" t="s">
        <v>65</v>
      </c>
      <c r="D45" s="4" t="s">
        <v>10</v>
      </c>
      <c r="E45" s="4">
        <v>7</v>
      </c>
      <c r="F45" s="4">
        <v>1</v>
      </c>
      <c r="G45" s="5">
        <v>5.15</v>
      </c>
      <c r="H45">
        <v>15.684765931491572</v>
      </c>
      <c r="I45">
        <v>5.9959349593487596</v>
      </c>
      <c r="J45">
        <v>79.27897383737357</v>
      </c>
      <c r="K45">
        <v>27.215707662939742</v>
      </c>
      <c r="L45">
        <v>72.784292337060265</v>
      </c>
      <c r="M45">
        <v>51.541797816174885</v>
      </c>
    </row>
    <row r="46" spans="1:13" x14ac:dyDescent="0.25">
      <c r="A46" s="4">
        <v>45</v>
      </c>
      <c r="B46" s="4" t="s">
        <v>99</v>
      </c>
      <c r="C46" s="4" t="s">
        <v>65</v>
      </c>
      <c r="D46" s="4" t="s">
        <v>10</v>
      </c>
      <c r="E46" s="4">
        <v>7</v>
      </c>
      <c r="F46" s="4">
        <v>2</v>
      </c>
      <c r="G46" s="5">
        <v>4.8</v>
      </c>
      <c r="H46">
        <v>16.455458615173669</v>
      </c>
      <c r="I46">
        <v>5.4285714285708222</v>
      </c>
      <c r="J46">
        <v>80.628923368470936</v>
      </c>
      <c r="K46">
        <v>20.483032711708969</v>
      </c>
      <c r="L46">
        <v>79.516967288291028</v>
      </c>
      <c r="M46">
        <v>57.63293724454654</v>
      </c>
    </row>
    <row r="47" spans="1:13" x14ac:dyDescent="0.25">
      <c r="A47" s="4">
        <v>46</v>
      </c>
      <c r="B47" s="4" t="s">
        <v>101</v>
      </c>
      <c r="C47" s="4" t="s">
        <v>65</v>
      </c>
      <c r="D47" s="4" t="s">
        <v>10</v>
      </c>
      <c r="E47" s="4">
        <v>7</v>
      </c>
      <c r="F47" s="4">
        <v>3</v>
      </c>
      <c r="G47" s="5">
        <v>7.05</v>
      </c>
      <c r="H47">
        <v>15.828414529274781</v>
      </c>
      <c r="I47">
        <v>5.1150895140676607</v>
      </c>
      <c r="J47">
        <v>81.422480161080173</v>
      </c>
      <c r="K47">
        <v>17.182021039209435</v>
      </c>
      <c r="L47">
        <v>82.817978960790569</v>
      </c>
      <c r="M47">
        <v>61.874474917448126</v>
      </c>
    </row>
    <row r="48" spans="1:13" x14ac:dyDescent="0.25">
      <c r="A48" s="4">
        <v>47</v>
      </c>
      <c r="B48" s="4" t="s">
        <v>103</v>
      </c>
      <c r="C48" s="4" t="s">
        <v>65</v>
      </c>
      <c r="D48" s="4" t="s">
        <v>10</v>
      </c>
      <c r="E48" s="4">
        <v>7</v>
      </c>
      <c r="F48" s="4">
        <v>4</v>
      </c>
      <c r="G48" s="5">
        <v>6.5</v>
      </c>
      <c r="H48">
        <v>16.514767303018669</v>
      </c>
      <c r="I48">
        <v>5.601092896174948</v>
      </c>
      <c r="J48">
        <v>80.436675789997508</v>
      </c>
      <c r="K48">
        <v>30.42925278219392</v>
      </c>
      <c r="L48">
        <v>69.570747217806073</v>
      </c>
      <c r="M48">
        <v>47.454887018612467</v>
      </c>
    </row>
    <row r="49" spans="1:13" x14ac:dyDescent="0.25">
      <c r="A49" s="4">
        <v>48</v>
      </c>
      <c r="B49" s="4" t="s">
        <v>105</v>
      </c>
      <c r="C49" s="4" t="s">
        <v>65</v>
      </c>
      <c r="D49" s="4" t="s">
        <v>10</v>
      </c>
      <c r="E49" s="4">
        <v>7</v>
      </c>
      <c r="F49" s="4">
        <v>5</v>
      </c>
      <c r="G49" s="5">
        <v>7.3</v>
      </c>
      <c r="H49">
        <v>17.669734076168933</v>
      </c>
      <c r="I49">
        <v>6.5510597302489071</v>
      </c>
      <c r="J49">
        <v>80.387273836145567</v>
      </c>
      <c r="K49">
        <v>25.861622181912431</v>
      </c>
      <c r="L49">
        <v>74.138377818087577</v>
      </c>
      <c r="M49">
        <v>49.917584011669732</v>
      </c>
    </row>
    <row r="50" spans="1:13" x14ac:dyDescent="0.25">
      <c r="A50" s="4">
        <v>49</v>
      </c>
      <c r="B50" s="7" t="s">
        <v>107</v>
      </c>
      <c r="C50" s="7" t="s">
        <v>65</v>
      </c>
      <c r="D50" s="7" t="s">
        <v>10</v>
      </c>
      <c r="E50" s="7">
        <v>7</v>
      </c>
      <c r="F50" s="7">
        <v>6</v>
      </c>
      <c r="G50" s="8">
        <v>5.5</v>
      </c>
    </row>
    <row r="51" spans="1:13" x14ac:dyDescent="0.25">
      <c r="A51" s="4">
        <v>50</v>
      </c>
      <c r="B51" s="7" t="s">
        <v>109</v>
      </c>
      <c r="C51" s="7" t="s">
        <v>65</v>
      </c>
      <c r="D51" s="7" t="s">
        <v>10</v>
      </c>
      <c r="E51" s="7">
        <v>7</v>
      </c>
      <c r="F51" s="7">
        <v>7</v>
      </c>
      <c r="G51" s="8">
        <v>9.9499999999999993</v>
      </c>
    </row>
    <row r="52" spans="1:13" x14ac:dyDescent="0.25">
      <c r="A52" s="4">
        <v>51</v>
      </c>
      <c r="B52" s="7" t="s">
        <v>111</v>
      </c>
      <c r="C52" s="7" t="s">
        <v>65</v>
      </c>
      <c r="D52" s="7" t="s">
        <v>10</v>
      </c>
      <c r="E52" s="7">
        <v>7</v>
      </c>
      <c r="F52" s="7">
        <v>8</v>
      </c>
      <c r="G52" s="8">
        <v>5.45</v>
      </c>
    </row>
    <row r="53" spans="1:13" x14ac:dyDescent="0.25">
      <c r="A53" s="4">
        <v>52</v>
      </c>
      <c r="B53" s="4" t="s">
        <v>113</v>
      </c>
      <c r="C53" s="4" t="s">
        <v>65</v>
      </c>
      <c r="D53" s="4">
        <v>13</v>
      </c>
      <c r="E53" s="4">
        <v>3</v>
      </c>
      <c r="F53" s="4">
        <v>1</v>
      </c>
      <c r="G53" s="5">
        <v>5.55</v>
      </c>
      <c r="H53">
        <v>13.56728973277227</v>
      </c>
      <c r="I53">
        <v>5.3822295201618804</v>
      </c>
      <c r="J53">
        <v>79.605860972285313</v>
      </c>
      <c r="K53">
        <v>34.447229184071254</v>
      </c>
      <c r="L53">
        <v>65.552770815928739</v>
      </c>
      <c r="M53">
        <v>47.141219531121934</v>
      </c>
    </row>
    <row r="54" spans="1:13" x14ac:dyDescent="0.25">
      <c r="A54" s="4">
        <v>53</v>
      </c>
      <c r="B54" s="4" t="s">
        <v>115</v>
      </c>
      <c r="C54" s="4" t="s">
        <v>65</v>
      </c>
      <c r="D54" s="4">
        <v>13</v>
      </c>
      <c r="E54" s="4">
        <v>3</v>
      </c>
      <c r="F54" s="4">
        <v>2</v>
      </c>
      <c r="G54" s="5">
        <v>6.15</v>
      </c>
      <c r="H54">
        <v>17.22759472092115</v>
      </c>
      <c r="I54">
        <v>5.0600885515512131</v>
      </c>
      <c r="J54">
        <v>79.746081217343473</v>
      </c>
      <c r="K54">
        <v>23.670513690880306</v>
      </c>
      <c r="L54">
        <v>76.329486309119702</v>
      </c>
      <c r="M54">
        <v>54.04180303664733</v>
      </c>
    </row>
    <row r="55" spans="1:13" x14ac:dyDescent="0.25">
      <c r="A55" s="4">
        <v>54</v>
      </c>
      <c r="B55" s="4" t="s">
        <v>117</v>
      </c>
      <c r="C55" s="4" t="s">
        <v>65</v>
      </c>
      <c r="D55" s="4">
        <v>13</v>
      </c>
      <c r="E55" s="4">
        <v>3</v>
      </c>
      <c r="F55" s="4">
        <v>3</v>
      </c>
      <c r="G55" s="5">
        <v>6.05</v>
      </c>
      <c r="H55">
        <v>16.092915954170554</v>
      </c>
      <c r="I55">
        <v>5.3510063819349298</v>
      </c>
      <c r="J55">
        <v>79.354295339696804</v>
      </c>
      <c r="K55">
        <v>16.154473755779168</v>
      </c>
      <c r="L55">
        <v>83.845526244220821</v>
      </c>
      <c r="M55">
        <v>65.288748121936777</v>
      </c>
    </row>
    <row r="56" spans="1:13" x14ac:dyDescent="0.25">
      <c r="A56" s="4">
        <v>55</v>
      </c>
      <c r="B56" s="4" t="s">
        <v>119</v>
      </c>
      <c r="C56" s="4" t="s">
        <v>65</v>
      </c>
      <c r="D56" s="4">
        <v>13</v>
      </c>
      <c r="E56" s="4">
        <v>3</v>
      </c>
      <c r="F56" s="4">
        <v>4</v>
      </c>
      <c r="G56" s="5">
        <v>6.8</v>
      </c>
      <c r="H56">
        <v>19.107877976190469</v>
      </c>
      <c r="I56">
        <v>6.1471861471844953</v>
      </c>
      <c r="J56">
        <v>78.032716082707992</v>
      </c>
      <c r="K56">
        <v>12.042270828213335</v>
      </c>
      <c r="L56">
        <v>87.957729171786667</v>
      </c>
      <c r="M56">
        <v>62.702665048411703</v>
      </c>
    </row>
    <row r="57" spans="1:13" x14ac:dyDescent="0.25">
      <c r="A57" s="4">
        <v>56</v>
      </c>
      <c r="B57" s="4" t="s">
        <v>121</v>
      </c>
      <c r="C57" s="4" t="s">
        <v>65</v>
      </c>
      <c r="D57" s="4">
        <v>13</v>
      </c>
      <c r="E57" s="4">
        <v>3</v>
      </c>
      <c r="F57" s="4">
        <v>5</v>
      </c>
      <c r="G57" s="5">
        <v>5.7</v>
      </c>
      <c r="H57">
        <v>18.266621722846434</v>
      </c>
      <c r="I57">
        <v>5.2109811896289537</v>
      </c>
      <c r="J57">
        <v>81.568102204821756</v>
      </c>
      <c r="K57">
        <v>18.837339295695944</v>
      </c>
      <c r="L57">
        <v>81.162660704304059</v>
      </c>
      <c r="M57">
        <v>57.685057791828669</v>
      </c>
    </row>
    <row r="58" spans="1:13" x14ac:dyDescent="0.25">
      <c r="A58" s="4">
        <v>57</v>
      </c>
      <c r="B58" s="7" t="s">
        <v>123</v>
      </c>
      <c r="C58" s="7" t="s">
        <v>65</v>
      </c>
      <c r="D58" s="7">
        <v>13</v>
      </c>
      <c r="E58" s="7">
        <v>3</v>
      </c>
      <c r="F58" s="7">
        <v>6</v>
      </c>
      <c r="G58" s="8">
        <v>10.199999999999999</v>
      </c>
    </row>
    <row r="59" spans="1:13" x14ac:dyDescent="0.25">
      <c r="A59" s="4">
        <v>58</v>
      </c>
      <c r="B59" s="7" t="s">
        <v>125</v>
      </c>
      <c r="C59" s="7" t="s">
        <v>65</v>
      </c>
      <c r="D59" s="7">
        <v>13</v>
      </c>
      <c r="E59" s="7">
        <v>3</v>
      </c>
      <c r="F59" s="7">
        <v>7</v>
      </c>
      <c r="G59" s="8">
        <v>5.85</v>
      </c>
    </row>
    <row r="60" spans="1:13" x14ac:dyDescent="0.25">
      <c r="A60" s="4">
        <v>59</v>
      </c>
      <c r="B60" s="4" t="s">
        <v>127</v>
      </c>
      <c r="C60" s="4" t="s">
        <v>65</v>
      </c>
      <c r="D60" s="4">
        <v>13</v>
      </c>
      <c r="E60" s="4">
        <v>5</v>
      </c>
      <c r="F60" s="4">
        <v>1</v>
      </c>
      <c r="G60" s="5">
        <v>5.2</v>
      </c>
      <c r="H60">
        <v>17.224787955226827</v>
      </c>
      <c r="I60">
        <v>5.6272757365113453</v>
      </c>
      <c r="J60">
        <v>79.4946488506111</v>
      </c>
      <c r="K60">
        <v>14.021000617665241</v>
      </c>
      <c r="L60">
        <v>85.978999382334763</v>
      </c>
      <c r="M60">
        <v>64.18119813970138</v>
      </c>
    </row>
    <row r="61" spans="1:13" x14ac:dyDescent="0.25">
      <c r="A61" s="4">
        <v>60</v>
      </c>
      <c r="B61" s="4" t="s">
        <v>129</v>
      </c>
      <c r="C61" s="4" t="s">
        <v>65</v>
      </c>
      <c r="D61" s="4">
        <v>13</v>
      </c>
      <c r="E61" s="4">
        <v>5</v>
      </c>
      <c r="F61" s="4">
        <v>2</v>
      </c>
      <c r="G61" s="5">
        <v>6.15</v>
      </c>
      <c r="H61">
        <v>18.420772779339796</v>
      </c>
      <c r="I61">
        <v>8.2040306759394053</v>
      </c>
      <c r="J61">
        <v>77.642852739937126</v>
      </c>
      <c r="K61">
        <v>19.6029776674938</v>
      </c>
      <c r="L61">
        <v>80.397022332506197</v>
      </c>
      <c r="M61">
        <v>53.772218877227004</v>
      </c>
    </row>
    <row r="62" spans="1:13" x14ac:dyDescent="0.25">
      <c r="A62" s="4">
        <v>61</v>
      </c>
      <c r="B62" s="4" t="s">
        <v>131</v>
      </c>
      <c r="C62" s="4" t="s">
        <v>65</v>
      </c>
      <c r="D62" s="4">
        <v>13</v>
      </c>
      <c r="E62" s="4">
        <v>5</v>
      </c>
      <c r="F62" s="4">
        <v>3</v>
      </c>
      <c r="G62" s="5">
        <v>5.45</v>
      </c>
      <c r="H62">
        <v>21.989671820949638</v>
      </c>
      <c r="I62">
        <v>6.0752255874212793</v>
      </c>
      <c r="J62">
        <v>76.581541566405335</v>
      </c>
      <c r="K62">
        <v>18.859794497845577</v>
      </c>
      <c r="L62">
        <v>81.14020550215443</v>
      </c>
      <c r="M62">
        <v>54.820520143065224</v>
      </c>
    </row>
    <row r="63" spans="1:13" x14ac:dyDescent="0.25">
      <c r="A63" s="4">
        <v>62</v>
      </c>
      <c r="B63" s="4" t="s">
        <v>133</v>
      </c>
      <c r="C63" s="4" t="s">
        <v>65</v>
      </c>
      <c r="D63" s="4">
        <v>13</v>
      </c>
      <c r="E63" s="4">
        <v>5</v>
      </c>
      <c r="F63" s="4">
        <v>4</v>
      </c>
      <c r="G63" s="5">
        <v>7.75</v>
      </c>
      <c r="H63">
        <v>17.974556929551476</v>
      </c>
      <c r="I63">
        <v>5.4054054054063414</v>
      </c>
      <c r="J63">
        <v>75.160682624113491</v>
      </c>
      <c r="K63">
        <v>34.86504572830696</v>
      </c>
      <c r="L63">
        <v>65.134954271693047</v>
      </c>
      <c r="M63">
        <v>41.754991936735223</v>
      </c>
    </row>
    <row r="64" spans="1:13" x14ac:dyDescent="0.25">
      <c r="A64" s="4">
        <v>63</v>
      </c>
      <c r="B64" s="4" t="s">
        <v>135</v>
      </c>
      <c r="C64" s="4" t="s">
        <v>65</v>
      </c>
      <c r="D64" s="4">
        <v>13</v>
      </c>
      <c r="E64" s="4">
        <v>5</v>
      </c>
      <c r="F64" s="4">
        <v>5</v>
      </c>
      <c r="G64" s="5">
        <v>6.55</v>
      </c>
      <c r="H64">
        <v>15.780321370615827</v>
      </c>
      <c r="I64">
        <v>6.5238095238090041</v>
      </c>
      <c r="J64">
        <v>80.993906282832526</v>
      </c>
      <c r="K64">
        <v>23.79767827529021</v>
      </c>
      <c r="L64">
        <v>76.20232172470979</v>
      </c>
      <c r="M64">
        <v>53.89819083028496</v>
      </c>
    </row>
    <row r="65" spans="1:13" x14ac:dyDescent="0.25">
      <c r="A65" s="4">
        <v>64</v>
      </c>
      <c r="B65" s="7" t="s">
        <v>137</v>
      </c>
      <c r="C65" s="7" t="s">
        <v>65</v>
      </c>
      <c r="D65" s="7">
        <v>13</v>
      </c>
      <c r="E65" s="7">
        <v>5</v>
      </c>
      <c r="F65" s="7">
        <v>6</v>
      </c>
      <c r="G65" s="8">
        <v>5.0999999999999996</v>
      </c>
    </row>
    <row r="66" spans="1:13" x14ac:dyDescent="0.25">
      <c r="A66" s="4">
        <v>65</v>
      </c>
      <c r="B66" s="7" t="s">
        <v>139</v>
      </c>
      <c r="C66" s="7" t="s">
        <v>65</v>
      </c>
      <c r="D66" s="7">
        <v>13</v>
      </c>
      <c r="E66" s="7">
        <v>5</v>
      </c>
      <c r="F66" s="7">
        <v>7</v>
      </c>
      <c r="G66" s="8">
        <v>4.5999999999999996</v>
      </c>
    </row>
    <row r="67" spans="1:13" x14ac:dyDescent="0.25">
      <c r="A67" s="4">
        <v>66</v>
      </c>
      <c r="B67" s="4" t="s">
        <v>141</v>
      </c>
      <c r="C67" s="4" t="s">
        <v>65</v>
      </c>
      <c r="D67" s="4">
        <v>13</v>
      </c>
      <c r="E67" s="4">
        <v>2</v>
      </c>
      <c r="F67" s="4">
        <v>1</v>
      </c>
      <c r="G67" s="5">
        <v>5.2</v>
      </c>
      <c r="H67">
        <v>20.290635618787174</v>
      </c>
      <c r="I67">
        <v>6.774668630339268</v>
      </c>
      <c r="J67">
        <v>79.711744017653942</v>
      </c>
      <c r="K67">
        <v>14.853840924541135</v>
      </c>
      <c r="L67">
        <v>85.146159075458854</v>
      </c>
      <c r="M67">
        <v>58.080854826332427</v>
      </c>
    </row>
    <row r="68" spans="1:13" x14ac:dyDescent="0.25">
      <c r="A68" s="4">
        <v>67</v>
      </c>
      <c r="B68" s="4" t="s">
        <v>143</v>
      </c>
      <c r="C68" s="4" t="s">
        <v>65</v>
      </c>
      <c r="D68" s="4">
        <v>13</v>
      </c>
      <c r="E68" s="4">
        <v>2</v>
      </c>
      <c r="F68" s="4">
        <v>2</v>
      </c>
      <c r="G68" s="5">
        <v>9.6999999999999993</v>
      </c>
      <c r="H68">
        <v>17.03704185384845</v>
      </c>
      <c r="I68">
        <v>5.7192589829670055</v>
      </c>
      <c r="J68">
        <v>76.057010365520981</v>
      </c>
      <c r="K68">
        <v>32.156080888635721</v>
      </c>
      <c r="L68">
        <v>67.843919111364286</v>
      </c>
      <c r="M68">
        <v>45.087618274548824</v>
      </c>
    </row>
    <row r="69" spans="1:13" x14ac:dyDescent="0.25">
      <c r="A69" s="4">
        <v>68</v>
      </c>
      <c r="B69" s="4" t="s">
        <v>145</v>
      </c>
      <c r="C69" s="4" t="s">
        <v>65</v>
      </c>
      <c r="D69" s="4">
        <v>13</v>
      </c>
      <c r="E69" s="4">
        <v>2</v>
      </c>
      <c r="F69" s="4">
        <v>3</v>
      </c>
      <c r="G69" s="5">
        <v>5.0999999999999996</v>
      </c>
      <c r="H69">
        <v>15.674014244496172</v>
      </c>
      <c r="I69">
        <v>5.0669562070214491</v>
      </c>
      <c r="J69">
        <v>79.568376531829514</v>
      </c>
      <c r="K69">
        <v>14.808917197452226</v>
      </c>
      <c r="L69">
        <v>85.191082802547768</v>
      </c>
      <c r="M69">
        <v>64.450112351030157</v>
      </c>
    </row>
    <row r="70" spans="1:13" x14ac:dyDescent="0.25">
      <c r="A70" s="4">
        <v>69</v>
      </c>
      <c r="B70" s="4" t="s">
        <v>147</v>
      </c>
      <c r="C70" s="4" t="s">
        <v>65</v>
      </c>
      <c r="D70" s="4">
        <v>13</v>
      </c>
      <c r="E70" s="4">
        <v>2</v>
      </c>
      <c r="F70" s="4">
        <v>4</v>
      </c>
      <c r="G70" s="5">
        <v>5.7</v>
      </c>
      <c r="H70">
        <v>16.783219139774697</v>
      </c>
      <c r="I70">
        <v>4.8283499446296583</v>
      </c>
      <c r="J70">
        <v>80.415052008974101</v>
      </c>
      <c r="K70">
        <v>15.620932048945589</v>
      </c>
      <c r="L70">
        <v>84.379067951054409</v>
      </c>
      <c r="M70">
        <v>62.767498866650058</v>
      </c>
    </row>
    <row r="71" spans="1:13" x14ac:dyDescent="0.25">
      <c r="A71" s="4">
        <v>70</v>
      </c>
      <c r="B71" s="4" t="s">
        <v>149</v>
      </c>
      <c r="C71" s="4" t="s">
        <v>65</v>
      </c>
      <c r="D71" s="4">
        <v>13</v>
      </c>
      <c r="E71" s="4">
        <v>2</v>
      </c>
      <c r="F71" s="4">
        <v>5</v>
      </c>
      <c r="G71" s="5">
        <v>5.8</v>
      </c>
      <c r="H71">
        <v>14.045859426946629</v>
      </c>
      <c r="I71">
        <v>4.6082949308761068</v>
      </c>
      <c r="J71">
        <v>83.445604580666881</v>
      </c>
      <c r="K71">
        <v>19.023397761953149</v>
      </c>
      <c r="L71">
        <v>80.976602238046851</v>
      </c>
      <c r="M71">
        <v>62.322447880224118</v>
      </c>
    </row>
    <row r="72" spans="1:13" x14ac:dyDescent="0.25">
      <c r="A72" s="4">
        <v>71</v>
      </c>
      <c r="B72" s="7" t="s">
        <v>151</v>
      </c>
      <c r="C72" s="7" t="s">
        <v>65</v>
      </c>
      <c r="D72" s="7">
        <v>13</v>
      </c>
      <c r="E72" s="7">
        <v>2</v>
      </c>
      <c r="F72" s="7">
        <v>6</v>
      </c>
      <c r="G72" s="8">
        <v>6.3</v>
      </c>
    </row>
    <row r="73" spans="1:13" x14ac:dyDescent="0.25">
      <c r="A73" s="4">
        <v>72</v>
      </c>
      <c r="B73" s="7" t="s">
        <v>153</v>
      </c>
      <c r="C73" s="7" t="s">
        <v>65</v>
      </c>
      <c r="D73" s="7">
        <v>13</v>
      </c>
      <c r="E73" s="7">
        <v>2</v>
      </c>
      <c r="F73" s="7">
        <v>7</v>
      </c>
      <c r="G73" s="8">
        <v>6.25</v>
      </c>
    </row>
    <row r="74" spans="1:13" x14ac:dyDescent="0.25">
      <c r="A74" s="4">
        <v>73</v>
      </c>
      <c r="B74" s="7" t="s">
        <v>155</v>
      </c>
      <c r="C74" s="7" t="s">
        <v>65</v>
      </c>
      <c r="D74" s="7">
        <v>13</v>
      </c>
      <c r="E74" s="7">
        <v>2</v>
      </c>
      <c r="F74" s="7">
        <v>8</v>
      </c>
      <c r="G74" s="8">
        <v>8.5500000000000007</v>
      </c>
    </row>
    <row r="75" spans="1:13" x14ac:dyDescent="0.25">
      <c r="A75" s="4">
        <v>74</v>
      </c>
      <c r="B75" s="4" t="s">
        <v>157</v>
      </c>
      <c r="C75" s="4" t="s">
        <v>65</v>
      </c>
      <c r="D75" s="4">
        <v>54</v>
      </c>
      <c r="E75" s="4">
        <v>9</v>
      </c>
      <c r="F75" s="4">
        <v>1</v>
      </c>
      <c r="G75" s="5">
        <v>6.3</v>
      </c>
      <c r="H75">
        <v>15.753935601168806</v>
      </c>
      <c r="I75">
        <v>6.0288681570141289</v>
      </c>
      <c r="J75">
        <v>78.626533451372197</v>
      </c>
      <c r="K75">
        <v>15.502958579881678</v>
      </c>
      <c r="L75">
        <v>84.497041420118322</v>
      </c>
      <c r="M75">
        <v>62.714237661935385</v>
      </c>
    </row>
    <row r="76" spans="1:13" x14ac:dyDescent="0.25">
      <c r="A76" s="4">
        <v>75</v>
      </c>
      <c r="B76" s="4" t="s">
        <v>159</v>
      </c>
      <c r="C76" s="4" t="s">
        <v>65</v>
      </c>
      <c r="D76" s="4">
        <v>54</v>
      </c>
      <c r="E76" s="4">
        <v>9</v>
      </c>
      <c r="F76" s="4">
        <v>2</v>
      </c>
      <c r="G76" s="5">
        <v>7.25</v>
      </c>
      <c r="H76">
        <v>14.977134088164249</v>
      </c>
      <c r="I76">
        <v>6.1090530967703547</v>
      </c>
      <c r="J76">
        <v>76.992626876917285</v>
      </c>
      <c r="K76">
        <v>20.304093567251478</v>
      </c>
      <c r="L76">
        <v>79.695906432748515</v>
      </c>
      <c r="M76">
        <v>58.609719247813921</v>
      </c>
    </row>
    <row r="77" spans="1:13" x14ac:dyDescent="0.25">
      <c r="A77" s="4">
        <v>76</v>
      </c>
      <c r="B77" s="4" t="s">
        <v>161</v>
      </c>
      <c r="C77" s="4" t="s">
        <v>65</v>
      </c>
      <c r="D77" s="4">
        <v>54</v>
      </c>
      <c r="E77" s="4">
        <v>9</v>
      </c>
      <c r="F77" s="4">
        <v>3</v>
      </c>
      <c r="G77" s="5">
        <v>10.75</v>
      </c>
      <c r="H77">
        <v>14.22954160613935</v>
      </c>
      <c r="I77">
        <v>4.5500505561188991</v>
      </c>
      <c r="J77">
        <v>66.556836902800654</v>
      </c>
      <c r="K77">
        <v>51.833607006020848</v>
      </c>
      <c r="L77">
        <v>48.166392993979159</v>
      </c>
      <c r="M77">
        <v>30.401362011220002</v>
      </c>
    </row>
    <row r="78" spans="1:13" x14ac:dyDescent="0.25">
      <c r="A78" s="4">
        <v>77</v>
      </c>
      <c r="B78" s="4" t="s">
        <v>163</v>
      </c>
      <c r="C78" s="4" t="s">
        <v>65</v>
      </c>
      <c r="D78" s="4">
        <v>54</v>
      </c>
      <c r="E78" s="4">
        <v>9</v>
      </c>
      <c r="F78" s="4">
        <v>4</v>
      </c>
      <c r="G78" s="5">
        <v>10</v>
      </c>
      <c r="H78">
        <v>16.430186551215915</v>
      </c>
      <c r="I78">
        <v>5.8398010700029452</v>
      </c>
      <c r="J78">
        <v>77.505919494869786</v>
      </c>
      <c r="K78">
        <v>16.290726817042611</v>
      </c>
      <c r="L78">
        <v>83.709273182957389</v>
      </c>
      <c r="M78">
        <v>61.439285561738529</v>
      </c>
    </row>
    <row r="79" spans="1:13" x14ac:dyDescent="0.25">
      <c r="A79" s="4">
        <v>78</v>
      </c>
      <c r="B79" s="4" t="s">
        <v>165</v>
      </c>
      <c r="C79" s="4" t="s">
        <v>65</v>
      </c>
      <c r="D79" s="4">
        <v>54</v>
      </c>
      <c r="E79" s="4">
        <v>9</v>
      </c>
      <c r="F79" s="4">
        <v>5</v>
      </c>
      <c r="G79" s="5">
        <v>8.25</v>
      </c>
      <c r="H79">
        <v>18.456925200425353</v>
      </c>
      <c r="I79">
        <v>6.1750686118735985</v>
      </c>
      <c r="J79">
        <v>75.22799817601458</v>
      </c>
      <c r="K79">
        <v>19.903359410952611</v>
      </c>
      <c r="L79">
        <v>80.096640589047382</v>
      </c>
      <c r="M79">
        <v>55.464646776748438</v>
      </c>
    </row>
    <row r="80" spans="1:13" x14ac:dyDescent="0.25">
      <c r="A80" s="4">
        <v>79</v>
      </c>
      <c r="B80" s="7" t="s">
        <v>167</v>
      </c>
      <c r="C80" s="7" t="s">
        <v>65</v>
      </c>
      <c r="D80" s="7">
        <v>54</v>
      </c>
      <c r="E80" s="7">
        <v>9</v>
      </c>
      <c r="F80" s="7">
        <v>6</v>
      </c>
      <c r="G80" s="8">
        <v>6.35</v>
      </c>
    </row>
    <row r="81" spans="1:13" x14ac:dyDescent="0.25">
      <c r="A81" s="4">
        <v>80</v>
      </c>
      <c r="B81" s="7" t="s">
        <v>169</v>
      </c>
      <c r="C81" s="7" t="s">
        <v>65</v>
      </c>
      <c r="D81" s="7">
        <v>54</v>
      </c>
      <c r="E81" s="7">
        <v>9</v>
      </c>
      <c r="F81" s="7">
        <v>7</v>
      </c>
      <c r="G81" s="8">
        <v>4.7</v>
      </c>
    </row>
    <row r="82" spans="1:13" x14ac:dyDescent="0.25">
      <c r="A82" s="4">
        <v>81</v>
      </c>
      <c r="B82" s="7" t="s">
        <v>171</v>
      </c>
      <c r="C82" s="7" t="s">
        <v>65</v>
      </c>
      <c r="D82" s="7">
        <v>54</v>
      </c>
      <c r="E82" s="7">
        <v>9</v>
      </c>
      <c r="F82" s="7">
        <v>8</v>
      </c>
      <c r="G82" s="8">
        <v>6.6</v>
      </c>
    </row>
    <row r="83" spans="1:13" x14ac:dyDescent="0.25">
      <c r="A83" s="4">
        <v>82</v>
      </c>
      <c r="B83" s="4" t="s">
        <v>173</v>
      </c>
      <c r="C83" s="4" t="s">
        <v>65</v>
      </c>
      <c r="D83" s="4">
        <v>54</v>
      </c>
      <c r="E83" s="4">
        <v>6</v>
      </c>
      <c r="F83" s="4">
        <v>1</v>
      </c>
      <c r="G83" s="5">
        <v>5.9</v>
      </c>
      <c r="H83">
        <v>13.889837594445455</v>
      </c>
      <c r="I83">
        <v>5.3043478260860866</v>
      </c>
      <c r="J83">
        <v>79.470338983050851</v>
      </c>
      <c r="K83">
        <v>15.531475748193971</v>
      </c>
      <c r="L83">
        <v>84.468524251806031</v>
      </c>
      <c r="M83">
        <v>64.655124043410225</v>
      </c>
    </row>
    <row r="84" spans="1:13" x14ac:dyDescent="0.25">
      <c r="A84" s="4">
        <v>83</v>
      </c>
      <c r="B84" s="4" t="s">
        <v>175</v>
      </c>
      <c r="C84" s="4" t="s">
        <v>65</v>
      </c>
      <c r="D84" s="4">
        <v>54</v>
      </c>
      <c r="E84" s="4">
        <v>6</v>
      </c>
      <c r="F84" s="4">
        <v>2</v>
      </c>
      <c r="G84" s="5">
        <v>7.45</v>
      </c>
      <c r="H84">
        <v>14.181087636314455</v>
      </c>
      <c r="I84">
        <v>4.56638826008927</v>
      </c>
      <c r="J84">
        <v>79.654864291299006</v>
      </c>
      <c r="K84">
        <v>17.897337359319234</v>
      </c>
      <c r="L84">
        <v>82.102662640680762</v>
      </c>
      <c r="M84">
        <v>63.355186744277042</v>
      </c>
    </row>
    <row r="85" spans="1:13" x14ac:dyDescent="0.25">
      <c r="A85" s="4">
        <v>84</v>
      </c>
      <c r="B85" s="4" t="s">
        <v>177</v>
      </c>
      <c r="C85" s="4" t="s">
        <v>65</v>
      </c>
      <c r="D85" s="4">
        <v>54</v>
      </c>
      <c r="E85" s="4">
        <v>6</v>
      </c>
      <c r="F85" s="4">
        <v>3</v>
      </c>
      <c r="G85" s="5">
        <v>6</v>
      </c>
      <c r="H85">
        <v>14.268805094875239</v>
      </c>
      <c r="I85">
        <v>5.2687941743414788</v>
      </c>
      <c r="J85">
        <v>78.968315501111277</v>
      </c>
      <c r="K85">
        <v>15.704104202506796</v>
      </c>
      <c r="L85">
        <v>84.295895797493202</v>
      </c>
      <c r="M85">
        <v>64.758296528276489</v>
      </c>
    </row>
    <row r="86" spans="1:13" x14ac:dyDescent="0.25">
      <c r="A86" s="4">
        <v>85</v>
      </c>
      <c r="B86" s="4" t="s">
        <v>179</v>
      </c>
      <c r="C86" s="4" t="s">
        <v>65</v>
      </c>
      <c r="D86" s="4">
        <v>54</v>
      </c>
      <c r="E86" s="4">
        <v>6</v>
      </c>
      <c r="F86" s="4">
        <v>4</v>
      </c>
      <c r="G86" s="5">
        <v>5.05</v>
      </c>
      <c r="H86">
        <v>14.017397738581378</v>
      </c>
      <c r="I86">
        <v>7.3282988516034093</v>
      </c>
      <c r="J86">
        <v>76.416493622070604</v>
      </c>
      <c r="K86">
        <v>24.427672955974863</v>
      </c>
      <c r="L86">
        <v>75.57232704402513</v>
      </c>
      <c r="M86">
        <v>54.22663045384035</v>
      </c>
    </row>
    <row r="87" spans="1:13" x14ac:dyDescent="0.25">
      <c r="A87" s="4">
        <v>86</v>
      </c>
      <c r="B87" s="4" t="s">
        <v>181</v>
      </c>
      <c r="C87" s="4" t="s">
        <v>65</v>
      </c>
      <c r="D87" s="4">
        <v>54</v>
      </c>
      <c r="E87" s="4">
        <v>6</v>
      </c>
      <c r="F87" s="4">
        <v>5</v>
      </c>
      <c r="G87" s="5">
        <v>8.9</v>
      </c>
      <c r="H87">
        <v>16.565049253875234</v>
      </c>
      <c r="I87">
        <v>6.7254816631731327</v>
      </c>
      <c r="J87">
        <v>77.495654802387975</v>
      </c>
      <c r="K87">
        <v>15.883143049026165</v>
      </c>
      <c r="L87">
        <v>84.116856950973826</v>
      </c>
      <c r="M87">
        <v>57.752399368257898</v>
      </c>
    </row>
    <row r="88" spans="1:13" x14ac:dyDescent="0.25">
      <c r="A88" s="4">
        <v>87</v>
      </c>
      <c r="B88" s="7" t="s">
        <v>183</v>
      </c>
      <c r="C88" s="7" t="s">
        <v>65</v>
      </c>
      <c r="D88" s="7">
        <v>54</v>
      </c>
      <c r="E88" s="7">
        <v>6</v>
      </c>
      <c r="F88" s="7">
        <v>6</v>
      </c>
      <c r="G88" s="8">
        <v>8.6</v>
      </c>
    </row>
    <row r="89" spans="1:13" x14ac:dyDescent="0.25">
      <c r="A89" s="4">
        <v>88</v>
      </c>
      <c r="B89" s="7" t="s">
        <v>185</v>
      </c>
      <c r="C89" s="7" t="s">
        <v>65</v>
      </c>
      <c r="D89" s="7">
        <v>54</v>
      </c>
      <c r="E89" s="7">
        <v>6</v>
      </c>
      <c r="F89" s="7">
        <v>7</v>
      </c>
      <c r="G89" s="8">
        <v>6.7</v>
      </c>
    </row>
    <row r="90" spans="1:13" x14ac:dyDescent="0.25">
      <c r="A90" s="4">
        <v>89</v>
      </c>
      <c r="B90" s="7" t="s">
        <v>187</v>
      </c>
      <c r="C90" s="7" t="s">
        <v>65</v>
      </c>
      <c r="D90" s="7">
        <v>54</v>
      </c>
      <c r="E90" s="7">
        <v>6</v>
      </c>
      <c r="F90" s="7">
        <v>8</v>
      </c>
      <c r="G90" s="8">
        <v>6</v>
      </c>
    </row>
    <row r="91" spans="1:13" x14ac:dyDescent="0.25">
      <c r="A91" s="4">
        <v>90</v>
      </c>
      <c r="B91" s="4" t="s">
        <v>189</v>
      </c>
      <c r="C91" s="4" t="s">
        <v>65</v>
      </c>
      <c r="D91" s="4">
        <v>54</v>
      </c>
      <c r="E91" s="4">
        <v>8</v>
      </c>
      <c r="F91" s="4">
        <v>1</v>
      </c>
      <c r="G91" s="5">
        <v>6.65</v>
      </c>
      <c r="H91">
        <v>14.731581479571124</v>
      </c>
      <c r="I91">
        <v>5.8422904360735473</v>
      </c>
      <c r="J91">
        <v>78.287958115183258</v>
      </c>
      <c r="K91">
        <v>19.676874849288641</v>
      </c>
      <c r="L91">
        <v>80.323125150711348</v>
      </c>
      <c r="M91">
        <v>61.16249013832563</v>
      </c>
    </row>
    <row r="92" spans="1:13" x14ac:dyDescent="0.25">
      <c r="A92" s="4">
        <v>91</v>
      </c>
      <c r="B92" s="4" t="s">
        <v>191</v>
      </c>
      <c r="C92" s="4" t="s">
        <v>65</v>
      </c>
      <c r="D92" s="4">
        <v>54</v>
      </c>
      <c r="E92" s="4">
        <v>8</v>
      </c>
      <c r="F92" s="4">
        <v>2</v>
      </c>
      <c r="G92" s="5">
        <v>7.55</v>
      </c>
      <c r="H92">
        <v>17.504783101449274</v>
      </c>
      <c r="I92" t="s">
        <v>443</v>
      </c>
      <c r="J92">
        <v>77.287946428571431</v>
      </c>
      <c r="K92">
        <v>19.847119847119878</v>
      </c>
      <c r="L92">
        <v>80.15288015288013</v>
      </c>
      <c r="M92" t="s">
        <v>443</v>
      </c>
    </row>
    <row r="93" spans="1:13" x14ac:dyDescent="0.25">
      <c r="A93" s="4">
        <v>92</v>
      </c>
      <c r="B93" s="4" t="s">
        <v>193</v>
      </c>
      <c r="C93" s="4" t="s">
        <v>65</v>
      </c>
      <c r="D93" s="4">
        <v>54</v>
      </c>
      <c r="E93" s="4">
        <v>8</v>
      </c>
      <c r="F93" s="4">
        <v>3</v>
      </c>
      <c r="G93" s="5">
        <v>9.6</v>
      </c>
      <c r="H93">
        <v>13.720655276005818</v>
      </c>
      <c r="I93">
        <v>5.3333333333337549</v>
      </c>
      <c r="J93">
        <v>77.304601525310943</v>
      </c>
      <c r="K93">
        <v>31.10058637798825</v>
      </c>
      <c r="L93">
        <v>68.89941362201175</v>
      </c>
      <c r="M93">
        <v>49.84542501267218</v>
      </c>
    </row>
    <row r="94" spans="1:13" x14ac:dyDescent="0.25">
      <c r="A94" s="4">
        <v>93</v>
      </c>
      <c r="B94" s="4" t="s">
        <v>195</v>
      </c>
      <c r="C94" s="4" t="s">
        <v>65</v>
      </c>
      <c r="D94" s="4">
        <v>54</v>
      </c>
      <c r="E94" s="4">
        <v>8</v>
      </c>
      <c r="F94" s="4">
        <v>4</v>
      </c>
      <c r="G94" s="5">
        <v>7.3</v>
      </c>
      <c r="H94">
        <v>16.020024766775077</v>
      </c>
      <c r="I94">
        <v>4.9689440993794989</v>
      </c>
      <c r="J94">
        <v>77.822322001282885</v>
      </c>
      <c r="K94">
        <v>20.245842371655808</v>
      </c>
      <c r="L94">
        <v>79.754157628344188</v>
      </c>
      <c r="M94">
        <v>58.765188762189617</v>
      </c>
    </row>
    <row r="95" spans="1:13" x14ac:dyDescent="0.25">
      <c r="A95" s="4">
        <v>94</v>
      </c>
      <c r="B95" s="4" t="s">
        <v>197</v>
      </c>
      <c r="C95" s="4" t="s">
        <v>65</v>
      </c>
      <c r="D95" s="4">
        <v>54</v>
      </c>
      <c r="E95" s="4">
        <v>8</v>
      </c>
      <c r="F95" s="4">
        <v>5</v>
      </c>
      <c r="G95" s="5">
        <v>6.55</v>
      </c>
      <c r="H95">
        <v>16.539735641659806</v>
      </c>
      <c r="I95">
        <v>6.3160987074039907</v>
      </c>
      <c r="J95">
        <v>72.61742030728854</v>
      </c>
      <c r="K95">
        <v>32.20846645367412</v>
      </c>
      <c r="L95">
        <v>67.79153354632588</v>
      </c>
      <c r="M95">
        <v>44.935699197262082</v>
      </c>
    </row>
    <row r="96" spans="1:13" x14ac:dyDescent="0.25">
      <c r="A96" s="4">
        <v>95</v>
      </c>
      <c r="B96" s="7" t="s">
        <v>199</v>
      </c>
      <c r="C96" s="7" t="s">
        <v>65</v>
      </c>
      <c r="D96" s="7">
        <v>54</v>
      </c>
      <c r="E96" s="7">
        <v>8</v>
      </c>
      <c r="F96" s="7">
        <v>6</v>
      </c>
      <c r="G96" s="8">
        <v>6.85</v>
      </c>
      <c r="I96">
        <v>6.9270449520989477</v>
      </c>
    </row>
    <row r="97" spans="1:7" x14ac:dyDescent="0.25">
      <c r="A97" s="4">
        <v>96</v>
      </c>
      <c r="B97" s="7" t="s">
        <v>201</v>
      </c>
      <c r="C97" s="7" t="s">
        <v>65</v>
      </c>
      <c r="D97" s="7">
        <v>54</v>
      </c>
      <c r="E97" s="7">
        <v>8</v>
      </c>
      <c r="F97" s="7">
        <v>7</v>
      </c>
      <c r="G97" s="8">
        <v>8.15</v>
      </c>
    </row>
    <row r="98" spans="1:7" x14ac:dyDescent="0.25">
      <c r="A98" s="4">
        <v>97</v>
      </c>
      <c r="B98" s="7" t="s">
        <v>203</v>
      </c>
      <c r="C98" s="7" t="s">
        <v>65</v>
      </c>
      <c r="D98" s="7">
        <v>54</v>
      </c>
      <c r="E98" s="7">
        <v>8</v>
      </c>
      <c r="F98" s="7">
        <v>8</v>
      </c>
      <c r="G98" s="8">
        <v>6.4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5C87-9BB1-4FE6-9DC5-EBFEA17C5A9B}">
  <dimension ref="A1:L99"/>
  <sheetViews>
    <sheetView topLeftCell="A13" workbookViewId="0">
      <selection activeCell="L57" sqref="L57"/>
    </sheetView>
  </sheetViews>
  <sheetFormatPr defaultRowHeight="15" x14ac:dyDescent="0.25"/>
  <cols>
    <col min="1" max="1" width="15.140625" style="26" bestFit="1" customWidth="1"/>
    <col min="2" max="2" width="12.85546875" style="26" customWidth="1"/>
    <col min="3" max="3" width="10.28515625" style="26" bestFit="1" customWidth="1"/>
    <col min="4" max="5" width="9.140625" style="26"/>
    <col min="6" max="6" width="17.140625" style="26" customWidth="1"/>
    <col min="7" max="12" width="20.140625" customWidth="1"/>
  </cols>
  <sheetData>
    <row r="1" spans="1:12" x14ac:dyDescent="0.25">
      <c r="A1" s="23" t="s">
        <v>458</v>
      </c>
      <c r="B1" s="23" t="s">
        <v>3</v>
      </c>
      <c r="C1" s="23" t="s">
        <v>4</v>
      </c>
      <c r="D1" s="23" t="s">
        <v>5</v>
      </c>
      <c r="E1" s="23" t="s">
        <v>315</v>
      </c>
      <c r="F1" s="23" t="s">
        <v>441</v>
      </c>
      <c r="G1" s="11" t="s">
        <v>433</v>
      </c>
      <c r="H1" s="11" t="s">
        <v>432</v>
      </c>
      <c r="I1" s="11" t="s">
        <v>426</v>
      </c>
      <c r="J1" s="11" t="s">
        <v>440</v>
      </c>
      <c r="K1" s="11" t="s">
        <v>439</v>
      </c>
      <c r="L1" s="11" t="s">
        <v>438</v>
      </c>
    </row>
    <row r="2" spans="1:12" x14ac:dyDescent="0.25">
      <c r="A2" s="24" t="s">
        <v>8</v>
      </c>
      <c r="B2" s="24" t="s">
        <v>9</v>
      </c>
      <c r="C2" s="24" t="s">
        <v>10</v>
      </c>
      <c r="D2" s="24">
        <v>1</v>
      </c>
      <c r="E2" s="24">
        <v>1</v>
      </c>
      <c r="F2" s="25">
        <v>6.65</v>
      </c>
      <c r="G2" s="22">
        <v>18.137353923447481</v>
      </c>
      <c r="H2" s="22">
        <v>6.8908883176245768</v>
      </c>
      <c r="I2" s="22">
        <v>76.147698407781419</v>
      </c>
      <c r="J2" s="22">
        <v>21.116883116883134</v>
      </c>
      <c r="K2" s="22">
        <v>78.88311688311687</v>
      </c>
      <c r="L2" s="22">
        <v>53.16274469780366</v>
      </c>
    </row>
    <row r="3" spans="1:12" x14ac:dyDescent="0.25">
      <c r="A3" s="24" t="s">
        <v>12</v>
      </c>
      <c r="B3" s="24" t="s">
        <v>9</v>
      </c>
      <c r="C3" s="24" t="s">
        <v>10</v>
      </c>
      <c r="D3" s="24">
        <v>1</v>
      </c>
      <c r="E3" s="24">
        <v>2</v>
      </c>
      <c r="F3" s="25">
        <v>5.45</v>
      </c>
      <c r="G3" s="22" t="s">
        <v>443</v>
      </c>
      <c r="H3" s="22">
        <v>2.9820261437909235</v>
      </c>
      <c r="I3" s="22">
        <v>78.974411151243828</v>
      </c>
      <c r="J3" s="22">
        <v>25.792402613113918</v>
      </c>
      <c r="K3" s="22">
        <v>74.207597386886093</v>
      </c>
      <c r="L3" s="22" t="s">
        <v>443</v>
      </c>
    </row>
    <row r="4" spans="1:12" x14ac:dyDescent="0.25">
      <c r="A4" s="24" t="s">
        <v>14</v>
      </c>
      <c r="B4" s="24" t="s">
        <v>9</v>
      </c>
      <c r="C4" s="24" t="s">
        <v>10</v>
      </c>
      <c r="D4" s="24">
        <v>1</v>
      </c>
      <c r="E4" s="24">
        <v>3</v>
      </c>
      <c r="F4" s="25">
        <v>5.75</v>
      </c>
      <c r="G4" s="22">
        <v>14.384187467930783</v>
      </c>
      <c r="H4" s="22">
        <v>6.2211981566816075</v>
      </c>
      <c r="I4" s="22">
        <v>77.874115129232294</v>
      </c>
      <c r="J4" s="22">
        <v>31.448412698412721</v>
      </c>
      <c r="K4" s="22">
        <v>68.551587301587276</v>
      </c>
      <c r="L4" s="22">
        <v>47.946201676974894</v>
      </c>
    </row>
    <row r="5" spans="1:12" x14ac:dyDescent="0.25">
      <c r="A5" s="24" t="s">
        <v>16</v>
      </c>
      <c r="B5" s="24" t="s">
        <v>9</v>
      </c>
      <c r="C5" s="24" t="s">
        <v>10</v>
      </c>
      <c r="D5" s="24">
        <v>4</v>
      </c>
      <c r="E5" s="24">
        <v>1</v>
      </c>
      <c r="F5" s="25">
        <v>7.5</v>
      </c>
      <c r="G5" s="22">
        <v>11.920455976658953</v>
      </c>
      <c r="H5" s="22">
        <v>6.4901349948078932</v>
      </c>
      <c r="I5" s="22">
        <v>75.623476467279218</v>
      </c>
      <c r="J5" s="22">
        <v>17.769230769230742</v>
      </c>
      <c r="K5" s="22">
        <v>82.230769230769255</v>
      </c>
      <c r="L5" s="22">
        <v>62.914182886183156</v>
      </c>
    </row>
    <row r="6" spans="1:12" x14ac:dyDescent="0.25">
      <c r="A6" s="24" t="s">
        <v>18</v>
      </c>
      <c r="B6" s="24" t="s">
        <v>9</v>
      </c>
      <c r="C6" s="24" t="s">
        <v>10</v>
      </c>
      <c r="D6" s="24">
        <v>4</v>
      </c>
      <c r="E6" s="24">
        <v>2</v>
      </c>
      <c r="F6" s="25">
        <v>7.3</v>
      </c>
      <c r="G6" s="22">
        <v>14.46120362724297</v>
      </c>
      <c r="H6" s="22">
        <v>4.9611734253670869</v>
      </c>
      <c r="I6" s="22">
        <v>77.673448095983318</v>
      </c>
      <c r="J6" s="22">
        <v>29.322429906542048</v>
      </c>
      <c r="K6" s="22">
        <v>70.677570093457959</v>
      </c>
      <c r="L6" s="22">
        <v>51.311081750518404</v>
      </c>
    </row>
    <row r="7" spans="1:12" x14ac:dyDescent="0.25">
      <c r="A7" s="24" t="s">
        <v>20</v>
      </c>
      <c r="B7" s="24" t="s">
        <v>9</v>
      </c>
      <c r="C7" s="24" t="s">
        <v>10</v>
      </c>
      <c r="D7" s="24">
        <v>4</v>
      </c>
      <c r="E7" s="24">
        <v>3</v>
      </c>
      <c r="F7" s="25">
        <v>5.35</v>
      </c>
      <c r="G7" s="22">
        <v>17.76154120024875</v>
      </c>
      <c r="H7" s="22">
        <v>9.2638750415421214</v>
      </c>
      <c r="I7" s="22">
        <v>69.911753133606879</v>
      </c>
      <c r="J7" s="22">
        <v>35.00840650102748</v>
      </c>
      <c r="K7" s="22">
        <v>64.99159349897252</v>
      </c>
      <c r="L7" s="22">
        <v>37.966177257181648</v>
      </c>
    </row>
    <row r="8" spans="1:12" x14ac:dyDescent="0.25">
      <c r="A8" s="24" t="s">
        <v>22</v>
      </c>
      <c r="B8" s="24" t="s">
        <v>9</v>
      </c>
      <c r="C8" s="24" t="s">
        <v>10</v>
      </c>
      <c r="D8" s="24">
        <v>7</v>
      </c>
      <c r="E8" s="24">
        <v>1</v>
      </c>
      <c r="F8" s="25">
        <v>6.3</v>
      </c>
      <c r="G8" s="22">
        <v>16.040978648820904</v>
      </c>
      <c r="H8" s="22">
        <v>6.4620995876946914</v>
      </c>
      <c r="I8" s="22">
        <v>73.126836434867784</v>
      </c>
      <c r="J8" s="22">
        <v>37.129840546697039</v>
      </c>
      <c r="K8" s="22">
        <v>62.870159453302961</v>
      </c>
      <c r="L8" s="22">
        <v>40.367081216787362</v>
      </c>
    </row>
    <row r="9" spans="1:12" x14ac:dyDescent="0.25">
      <c r="A9" s="24" t="s">
        <v>24</v>
      </c>
      <c r="B9" s="24" t="s">
        <v>9</v>
      </c>
      <c r="C9" s="24" t="s">
        <v>10</v>
      </c>
      <c r="D9" s="24">
        <v>7</v>
      </c>
      <c r="E9" s="24">
        <v>2</v>
      </c>
      <c r="F9" s="25">
        <v>5.75</v>
      </c>
      <c r="G9" s="22">
        <v>15.877269667832168</v>
      </c>
      <c r="H9" s="22">
        <v>6.6246741963507372</v>
      </c>
      <c r="I9" s="22">
        <v>77.833448514167245</v>
      </c>
      <c r="J9" s="22">
        <v>15.796310730059751</v>
      </c>
      <c r="K9" s="22">
        <v>84.203689269940242</v>
      </c>
      <c r="L9" s="22">
        <v>61.701745405757343</v>
      </c>
    </row>
    <row r="10" spans="1:12" x14ac:dyDescent="0.25">
      <c r="A10" s="24" t="s">
        <v>26</v>
      </c>
      <c r="B10" s="24" t="s">
        <v>9</v>
      </c>
      <c r="C10" s="24" t="s">
        <v>10</v>
      </c>
      <c r="D10" s="24">
        <v>7</v>
      </c>
      <c r="E10" s="24">
        <v>3</v>
      </c>
      <c r="F10" s="25">
        <v>5.65</v>
      </c>
      <c r="G10" s="22">
        <v>16.626342843760188</v>
      </c>
      <c r="H10" s="22">
        <v>6.9163292847498035</v>
      </c>
      <c r="I10" s="22">
        <v>73.735481453727985</v>
      </c>
      <c r="J10" s="22">
        <v>32.496433666191187</v>
      </c>
      <c r="K10" s="22">
        <v>67.503566333808806</v>
      </c>
      <c r="L10" s="22">
        <v>43.960894205298828</v>
      </c>
    </row>
    <row r="11" spans="1:12" x14ac:dyDescent="0.25">
      <c r="A11" s="24" t="s">
        <v>28</v>
      </c>
      <c r="B11" s="24" t="s">
        <v>9</v>
      </c>
      <c r="C11" s="24">
        <v>13</v>
      </c>
      <c r="D11" s="24">
        <v>3</v>
      </c>
      <c r="E11" s="24">
        <v>1</v>
      </c>
      <c r="F11" s="25">
        <v>6.4</v>
      </c>
      <c r="G11" s="22">
        <v>17.54837810670934</v>
      </c>
      <c r="H11" s="22">
        <v>6.954038868933492</v>
      </c>
      <c r="I11" s="22">
        <v>76.373915330002632</v>
      </c>
      <c r="J11" s="22">
        <v>14.134668892598812</v>
      </c>
      <c r="K11" s="22">
        <v>85.86533110740119</v>
      </c>
      <c r="L11" s="22">
        <v>61.362914131758359</v>
      </c>
    </row>
    <row r="12" spans="1:12" x14ac:dyDescent="0.25">
      <c r="A12" s="24" t="s">
        <v>30</v>
      </c>
      <c r="B12" s="24" t="s">
        <v>9</v>
      </c>
      <c r="C12" s="24">
        <v>13</v>
      </c>
      <c r="D12" s="24">
        <v>3</v>
      </c>
      <c r="E12" s="24">
        <v>2</v>
      </c>
      <c r="F12" s="25">
        <v>5.6</v>
      </c>
      <c r="G12" s="22">
        <v>15.065949988217024</v>
      </c>
      <c r="H12" s="22">
        <v>5.9648206199925573</v>
      </c>
      <c r="I12" s="22">
        <v>79.064576675290411</v>
      </c>
      <c r="J12" s="22">
        <v>21.371456263629735</v>
      </c>
      <c r="K12" s="22">
        <v>78.628543736370275</v>
      </c>
      <c r="L12" s="22">
        <v>57.597773128160682</v>
      </c>
    </row>
    <row r="13" spans="1:12" x14ac:dyDescent="0.25">
      <c r="A13" s="24" t="s">
        <v>32</v>
      </c>
      <c r="B13" s="24" t="s">
        <v>9</v>
      </c>
      <c r="C13" s="24">
        <v>13</v>
      </c>
      <c r="D13" s="24">
        <v>3</v>
      </c>
      <c r="E13" s="24">
        <v>3</v>
      </c>
      <c r="F13" s="25">
        <v>5.4</v>
      </c>
      <c r="G13" s="22">
        <v>14.46740698322777</v>
      </c>
      <c r="H13" s="22">
        <v>6.4149560117306228</v>
      </c>
      <c r="I13" s="22">
        <v>78.788549914179725</v>
      </c>
      <c r="J13" s="22">
        <v>17.7760375880971</v>
      </c>
      <c r="K13" s="22">
        <v>82.223962411902903</v>
      </c>
      <c r="L13" s="22">
        <v>61.341599416944504</v>
      </c>
    </row>
    <row r="14" spans="1:12" x14ac:dyDescent="0.25">
      <c r="A14" s="24" t="s">
        <v>34</v>
      </c>
      <c r="B14" s="24" t="s">
        <v>9</v>
      </c>
      <c r="C14" s="24">
        <v>13</v>
      </c>
      <c r="D14" s="24">
        <v>5</v>
      </c>
      <c r="E14" s="24">
        <v>1</v>
      </c>
      <c r="F14" s="25">
        <v>7.75</v>
      </c>
      <c r="G14" s="22">
        <v>17.387279469285247</v>
      </c>
      <c r="H14" s="22">
        <v>6.6345470342006587</v>
      </c>
      <c r="I14" s="22">
        <v>78.052618328298095</v>
      </c>
      <c r="J14" s="22">
        <v>20.303986234585594</v>
      </c>
      <c r="K14" s="22">
        <v>79.696013765414392</v>
      </c>
      <c r="L14" s="22">
        <v>55.674187261928502</v>
      </c>
    </row>
    <row r="15" spans="1:12" x14ac:dyDescent="0.25">
      <c r="A15" s="24" t="s">
        <v>36</v>
      </c>
      <c r="B15" s="24" t="s">
        <v>9</v>
      </c>
      <c r="C15" s="24">
        <v>13</v>
      </c>
      <c r="D15" s="24">
        <v>5</v>
      </c>
      <c r="E15" s="24">
        <v>2</v>
      </c>
      <c r="F15" s="25">
        <v>5.35</v>
      </c>
      <c r="G15" s="22">
        <v>15.98192781211549</v>
      </c>
      <c r="H15" s="22">
        <v>7.3818897637778988</v>
      </c>
      <c r="I15" s="22">
        <v>76.814647604715319</v>
      </c>
      <c r="J15" s="22">
        <v>22.43617481609693</v>
      </c>
      <c r="K15" s="22">
        <v>77.563825183903063</v>
      </c>
      <c r="L15" s="22">
        <v>54.200007608009685</v>
      </c>
    </row>
    <row r="16" spans="1:12" x14ac:dyDescent="0.25">
      <c r="A16" s="24" t="s">
        <v>38</v>
      </c>
      <c r="B16" s="24" t="s">
        <v>9</v>
      </c>
      <c r="C16" s="24">
        <v>13</v>
      </c>
      <c r="D16" s="24">
        <v>5</v>
      </c>
      <c r="E16" s="24">
        <v>3</v>
      </c>
      <c r="F16" s="25">
        <v>5.2</v>
      </c>
      <c r="G16" s="22">
        <v>15.888077876693195</v>
      </c>
      <c r="H16" s="22">
        <v>5.8017797941019351</v>
      </c>
      <c r="I16" s="22">
        <v>80.001158010537878</v>
      </c>
      <c r="J16" s="22">
        <v>13.983786913723211</v>
      </c>
      <c r="K16" s="22">
        <v>86.016213086276792</v>
      </c>
      <c r="L16" s="22">
        <v>64.326355415481657</v>
      </c>
    </row>
    <row r="17" spans="1:12" x14ac:dyDescent="0.25">
      <c r="A17" s="24" t="s">
        <v>40</v>
      </c>
      <c r="B17" s="24" t="s">
        <v>9</v>
      </c>
      <c r="C17" s="24">
        <v>13</v>
      </c>
      <c r="D17" s="24">
        <v>2</v>
      </c>
      <c r="E17" s="24">
        <v>1</v>
      </c>
      <c r="F17" s="25">
        <v>6.5</v>
      </c>
      <c r="G17" s="22">
        <v>13.396727254129965</v>
      </c>
      <c r="H17" s="22">
        <v>6.1909416748125672</v>
      </c>
      <c r="I17" s="22">
        <v>76.501985289331515</v>
      </c>
      <c r="J17" s="22">
        <v>25.54016620498615</v>
      </c>
      <c r="K17" s="22">
        <v>74.45983379501385</v>
      </c>
      <c r="L17" s="22">
        <v>52.802338759509048</v>
      </c>
    </row>
    <row r="18" spans="1:12" x14ac:dyDescent="0.25">
      <c r="A18" s="24" t="s">
        <v>42</v>
      </c>
      <c r="B18" s="24" t="s">
        <v>9</v>
      </c>
      <c r="C18" s="24">
        <v>13</v>
      </c>
      <c r="D18" s="24">
        <v>2</v>
      </c>
      <c r="E18" s="24">
        <v>2</v>
      </c>
      <c r="F18" s="25">
        <v>6.35</v>
      </c>
      <c r="G18" s="22">
        <v>16.345848067151785</v>
      </c>
      <c r="H18" s="22">
        <v>6.8548387096786856</v>
      </c>
      <c r="I18" s="22">
        <v>77.089128741515523</v>
      </c>
      <c r="J18" s="22">
        <v>19.815444390480803</v>
      </c>
      <c r="K18" s="22">
        <v>80.184555609519194</v>
      </c>
      <c r="L18" s="22">
        <v>54.276274367577699</v>
      </c>
    </row>
    <row r="19" spans="1:12" x14ac:dyDescent="0.25">
      <c r="A19" s="24" t="s">
        <v>44</v>
      </c>
      <c r="B19" s="24" t="s">
        <v>9</v>
      </c>
      <c r="C19" s="24">
        <v>13</v>
      </c>
      <c r="D19" s="24">
        <v>2</v>
      </c>
      <c r="E19" s="24">
        <v>3</v>
      </c>
      <c r="F19" s="25">
        <v>4.05</v>
      </c>
      <c r="G19" s="22">
        <v>14.455366527899502</v>
      </c>
      <c r="H19" s="22">
        <v>5.66037735849127</v>
      </c>
      <c r="I19" s="22">
        <v>79.757308328736897</v>
      </c>
      <c r="J19" s="22">
        <v>29.873668565766661</v>
      </c>
      <c r="K19" s="22">
        <v>70.126331434233336</v>
      </c>
      <c r="L19" s="22">
        <v>50.010587547842569</v>
      </c>
    </row>
    <row r="20" spans="1:12" x14ac:dyDescent="0.25">
      <c r="A20" s="24" t="s">
        <v>46</v>
      </c>
      <c r="B20" s="24" t="s">
        <v>9</v>
      </c>
      <c r="C20" s="24">
        <v>54</v>
      </c>
      <c r="D20" s="24">
        <v>9</v>
      </c>
      <c r="E20" s="24">
        <v>1</v>
      </c>
      <c r="F20" s="25">
        <v>5.65</v>
      </c>
      <c r="G20" s="22">
        <v>14.266343788513149</v>
      </c>
      <c r="H20" s="22">
        <v>7.3186959414513399</v>
      </c>
      <c r="I20" s="22">
        <v>75.421348314606746</v>
      </c>
      <c r="J20" s="22">
        <v>25.863354037267069</v>
      </c>
      <c r="K20" s="22">
        <v>74.136645962732928</v>
      </c>
      <c r="L20" s="22">
        <v>52.620194424059363</v>
      </c>
    </row>
    <row r="21" spans="1:12" x14ac:dyDescent="0.25">
      <c r="A21" s="24" t="s">
        <v>48</v>
      </c>
      <c r="B21" s="24" t="s">
        <v>9</v>
      </c>
      <c r="C21" s="24">
        <v>54</v>
      </c>
      <c r="D21" s="24">
        <v>9</v>
      </c>
      <c r="E21" s="24">
        <v>2</v>
      </c>
      <c r="F21" s="25">
        <v>4.5</v>
      </c>
      <c r="G21" s="22">
        <v>17.736161439255188</v>
      </c>
      <c r="H21" s="22">
        <v>6.6109951287423332</v>
      </c>
      <c r="I21" s="22">
        <v>75.397313647082953</v>
      </c>
      <c r="J21" s="22">
        <v>27.297353615336551</v>
      </c>
      <c r="K21" s="22">
        <v>72.702646384663453</v>
      </c>
      <c r="L21" s="22">
        <v>48.355489816665923</v>
      </c>
    </row>
    <row r="22" spans="1:12" x14ac:dyDescent="0.25">
      <c r="A22" s="24" t="s">
        <v>50</v>
      </c>
      <c r="B22" s="24" t="s">
        <v>9</v>
      </c>
      <c r="C22" s="24">
        <v>54</v>
      </c>
      <c r="D22" s="24">
        <v>9</v>
      </c>
      <c r="E22" s="24">
        <v>3</v>
      </c>
      <c r="F22" s="25">
        <v>6</v>
      </c>
      <c r="G22" s="22">
        <v>12.985785539534078</v>
      </c>
      <c r="H22" s="22">
        <v>7.1138211382113834</v>
      </c>
      <c r="I22" s="22">
        <v>76.604477611940311</v>
      </c>
      <c r="J22" s="22">
        <v>34.062428799270911</v>
      </c>
      <c r="K22" s="22">
        <v>65.937571200729096</v>
      </c>
      <c r="L22" s="22">
        <v>45.837964522983626</v>
      </c>
    </row>
    <row r="23" spans="1:12" x14ac:dyDescent="0.25">
      <c r="A23" s="24" t="s">
        <v>52</v>
      </c>
      <c r="B23" s="24" t="s">
        <v>9</v>
      </c>
      <c r="C23" s="24">
        <v>54</v>
      </c>
      <c r="D23" s="24">
        <v>6</v>
      </c>
      <c r="E23" s="24">
        <v>1</v>
      </c>
      <c r="F23" s="25">
        <v>6.65</v>
      </c>
      <c r="G23" s="22">
        <v>15.150892594730353</v>
      </c>
      <c r="H23" s="22">
        <v>5.295566502464772</v>
      </c>
      <c r="I23" s="22">
        <v>75.44925021687942</v>
      </c>
      <c r="J23" s="22">
        <v>33.139828369510333</v>
      </c>
      <c r="K23" s="22">
        <v>66.860171630489674</v>
      </c>
      <c r="L23" s="22">
        <v>45.484771795621086</v>
      </c>
    </row>
    <row r="24" spans="1:12" x14ac:dyDescent="0.25">
      <c r="A24" s="24" t="s">
        <v>54</v>
      </c>
      <c r="B24" s="24" t="s">
        <v>9</v>
      </c>
      <c r="C24" s="24">
        <v>54</v>
      </c>
      <c r="D24" s="24">
        <v>6</v>
      </c>
      <c r="E24" s="24">
        <v>2</v>
      </c>
      <c r="F24" s="25">
        <v>5.55</v>
      </c>
      <c r="G24" s="22">
        <v>14.169392760177907</v>
      </c>
      <c r="H24" s="22">
        <v>4.7511312217185662</v>
      </c>
      <c r="I24" s="22">
        <v>81.222605341593137</v>
      </c>
      <c r="J24" s="22">
        <v>14.939309056956102</v>
      </c>
      <c r="K24" s="22">
        <v>85.060690943043895</v>
      </c>
      <c r="L24" s="22">
        <v>66.140166961147429</v>
      </c>
    </row>
    <row r="25" spans="1:12" x14ac:dyDescent="0.25">
      <c r="A25" s="24" t="s">
        <v>56</v>
      </c>
      <c r="B25" s="24" t="s">
        <v>9</v>
      </c>
      <c r="C25" s="24">
        <v>54</v>
      </c>
      <c r="D25" s="24">
        <v>6</v>
      </c>
      <c r="E25" s="24">
        <v>3</v>
      </c>
      <c r="F25" s="25">
        <v>5.4</v>
      </c>
      <c r="G25" s="22">
        <v>15.664333674768518</v>
      </c>
      <c r="H25" s="22">
        <v>6.9649295313023298</v>
      </c>
      <c r="I25" s="22">
        <v>74.536709577026457</v>
      </c>
      <c r="J25" s="22">
        <v>22.111111111111054</v>
      </c>
      <c r="K25" s="22">
        <v>77.888888888888943</v>
      </c>
      <c r="L25" s="22">
        <v>54.725787631584517</v>
      </c>
    </row>
    <row r="26" spans="1:12" x14ac:dyDescent="0.25">
      <c r="A26" s="24" t="s">
        <v>58</v>
      </c>
      <c r="B26" s="24" t="s">
        <v>9</v>
      </c>
      <c r="C26" s="24">
        <v>54</v>
      </c>
      <c r="D26" s="24">
        <v>8</v>
      </c>
      <c r="E26" s="24">
        <v>1</v>
      </c>
      <c r="F26" s="25">
        <v>5.85</v>
      </c>
      <c r="G26" s="22">
        <v>12.474350688668348</v>
      </c>
      <c r="H26" s="22">
        <v>4.6978895634583022</v>
      </c>
      <c r="I26" s="22">
        <v>69.543605964753738</v>
      </c>
      <c r="J26" s="22">
        <v>50.906693043191552</v>
      </c>
      <c r="K26" s="22">
        <v>49.093306956808441</v>
      </c>
      <c r="L26" s="22">
        <v>32.858823836871906</v>
      </c>
    </row>
    <row r="27" spans="1:12" x14ac:dyDescent="0.25">
      <c r="A27" s="24" t="s">
        <v>60</v>
      </c>
      <c r="B27" s="24" t="s">
        <v>9</v>
      </c>
      <c r="C27" s="24">
        <v>54</v>
      </c>
      <c r="D27" s="24">
        <v>8</v>
      </c>
      <c r="E27" s="24">
        <v>2</v>
      </c>
      <c r="F27" s="25">
        <v>5.45</v>
      </c>
      <c r="G27" s="22">
        <v>15.414132372420635</v>
      </c>
      <c r="H27" s="22">
        <v>9.1697360343781771</v>
      </c>
      <c r="I27" s="22">
        <v>76.470253991704055</v>
      </c>
      <c r="J27" s="22">
        <v>26.805119536343895</v>
      </c>
      <c r="K27" s="22">
        <v>73.194880463656105</v>
      </c>
      <c r="L27" s="22">
        <v>50.367052453715338</v>
      </c>
    </row>
    <row r="28" spans="1:12" x14ac:dyDescent="0.25">
      <c r="A28" s="24" t="s">
        <v>62</v>
      </c>
      <c r="B28" s="24" t="s">
        <v>9</v>
      </c>
      <c r="C28" s="24">
        <v>54</v>
      </c>
      <c r="D28" s="24">
        <v>8</v>
      </c>
      <c r="E28" s="24">
        <v>3</v>
      </c>
      <c r="F28" s="25">
        <v>5.45</v>
      </c>
      <c r="G28" s="22">
        <v>15.739025461742907</v>
      </c>
      <c r="H28" s="22">
        <v>7.190265486724992</v>
      </c>
      <c r="I28" s="22">
        <v>77.658712291760452</v>
      </c>
      <c r="J28" s="22">
        <v>16.041918581217256</v>
      </c>
      <c r="K28" s="22">
        <v>83.958081418782754</v>
      </c>
      <c r="L28" s="22">
        <v>60.027216122749394</v>
      </c>
    </row>
    <row r="29" spans="1:12" x14ac:dyDescent="0.25">
      <c r="A29" s="24" t="s">
        <v>64</v>
      </c>
      <c r="B29" s="24" t="s">
        <v>65</v>
      </c>
      <c r="C29" s="24" t="s">
        <v>10</v>
      </c>
      <c r="D29" s="24">
        <v>1</v>
      </c>
      <c r="E29" s="24">
        <v>1</v>
      </c>
      <c r="F29" s="25">
        <v>5.45</v>
      </c>
      <c r="G29" s="22">
        <v>14.325341874271555</v>
      </c>
      <c r="H29" s="22">
        <v>7.1649484536099335</v>
      </c>
      <c r="I29" s="22">
        <v>81.59876754536117</v>
      </c>
      <c r="J29" s="22">
        <v>20.697674418604663</v>
      </c>
      <c r="K29" s="22">
        <v>79.302325581395337</v>
      </c>
      <c r="L29" s="22">
        <v>57.812035253513848</v>
      </c>
    </row>
    <row r="30" spans="1:12" x14ac:dyDescent="0.25">
      <c r="A30" s="24" t="s">
        <v>67</v>
      </c>
      <c r="B30" s="24" t="s">
        <v>65</v>
      </c>
      <c r="C30" s="24" t="s">
        <v>10</v>
      </c>
      <c r="D30" s="24">
        <v>1</v>
      </c>
      <c r="E30" s="24">
        <v>2</v>
      </c>
      <c r="F30" s="25">
        <v>5.5</v>
      </c>
      <c r="G30" s="22">
        <v>16.914102223926385</v>
      </c>
      <c r="H30" s="22">
        <v>5.5953446732318701</v>
      </c>
      <c r="I30" s="22">
        <v>80.51144910579977</v>
      </c>
      <c r="J30" s="22">
        <v>19.039451114922809</v>
      </c>
      <c r="K30" s="22">
        <v>80.960548885077188</v>
      </c>
      <c r="L30" s="22">
        <v>58.451101987918932</v>
      </c>
    </row>
    <row r="31" spans="1:12" x14ac:dyDescent="0.25">
      <c r="A31" s="24" t="s">
        <v>69</v>
      </c>
      <c r="B31" s="24" t="s">
        <v>65</v>
      </c>
      <c r="C31" s="24" t="s">
        <v>10</v>
      </c>
      <c r="D31" s="24">
        <v>1</v>
      </c>
      <c r="E31" s="24">
        <v>3</v>
      </c>
      <c r="F31" s="25">
        <v>5</v>
      </c>
      <c r="G31" s="22">
        <v>12.996767822128859</v>
      </c>
      <c r="H31" s="22">
        <v>4.618320610687161</v>
      </c>
      <c r="I31" s="22">
        <v>69.112967382657118</v>
      </c>
      <c r="J31" s="22">
        <v>60.914359304571789</v>
      </c>
      <c r="K31" s="22">
        <v>39.085640695428211</v>
      </c>
      <c r="L31" s="22">
        <v>21.470552262612188</v>
      </c>
    </row>
    <row r="32" spans="1:12" x14ac:dyDescent="0.25">
      <c r="A32" s="24" t="s">
        <v>71</v>
      </c>
      <c r="B32" s="24" t="s">
        <v>65</v>
      </c>
      <c r="C32" s="24" t="s">
        <v>10</v>
      </c>
      <c r="D32" s="24">
        <v>1</v>
      </c>
      <c r="E32" s="24">
        <v>4</v>
      </c>
      <c r="F32" s="25">
        <v>8.75</v>
      </c>
      <c r="G32" s="22">
        <v>22.013092760784815</v>
      </c>
      <c r="H32" s="22">
        <v>5.7894736842098631</v>
      </c>
      <c r="I32" s="22">
        <v>79.810862937846068</v>
      </c>
      <c r="J32" s="22">
        <v>23.081664098613267</v>
      </c>
      <c r="K32" s="22">
        <v>76.91833590138674</v>
      </c>
      <c r="L32" s="22">
        <v>52.01641164328246</v>
      </c>
    </row>
    <row r="33" spans="1:12" x14ac:dyDescent="0.25">
      <c r="A33" s="24" t="s">
        <v>73</v>
      </c>
      <c r="B33" s="24" t="s">
        <v>65</v>
      </c>
      <c r="C33" s="24" t="s">
        <v>10</v>
      </c>
      <c r="D33" s="24">
        <v>1</v>
      </c>
      <c r="E33" s="24">
        <v>5</v>
      </c>
      <c r="F33" s="25">
        <v>5.15</v>
      </c>
      <c r="G33" s="22">
        <v>18.471780363606459</v>
      </c>
      <c r="H33" s="22" t="s">
        <v>443</v>
      </c>
      <c r="I33" s="22">
        <v>78.361800509578188</v>
      </c>
      <c r="J33" s="22">
        <v>18.883558656781528</v>
      </c>
      <c r="K33" s="22">
        <v>81.116441343218483</v>
      </c>
      <c r="L33" s="22" t="s">
        <v>443</v>
      </c>
    </row>
    <row r="34" spans="1:12" x14ac:dyDescent="0.25">
      <c r="A34" s="24" t="s">
        <v>75</v>
      </c>
      <c r="B34" s="24" t="s">
        <v>65</v>
      </c>
      <c r="C34" s="24" t="s">
        <v>10</v>
      </c>
      <c r="D34" s="24">
        <v>1</v>
      </c>
      <c r="E34" s="24">
        <v>6</v>
      </c>
      <c r="F34" s="25">
        <v>6</v>
      </c>
      <c r="G34" s="22" t="s">
        <v>443</v>
      </c>
      <c r="H34" s="22" t="s">
        <v>443</v>
      </c>
      <c r="I34" s="22" t="s">
        <v>443</v>
      </c>
      <c r="J34" s="22" t="s">
        <v>443</v>
      </c>
      <c r="K34" s="22" t="s">
        <v>443</v>
      </c>
      <c r="L34" s="22" t="s">
        <v>443</v>
      </c>
    </row>
    <row r="35" spans="1:12" x14ac:dyDescent="0.25">
      <c r="A35" s="24" t="s">
        <v>77</v>
      </c>
      <c r="B35" s="24" t="s">
        <v>65</v>
      </c>
      <c r="C35" s="24" t="s">
        <v>10</v>
      </c>
      <c r="D35" s="24">
        <v>1</v>
      </c>
      <c r="E35" s="24">
        <v>7</v>
      </c>
      <c r="F35" s="25">
        <v>8.25</v>
      </c>
      <c r="G35" s="22" t="s">
        <v>443</v>
      </c>
      <c r="H35" s="22" t="s">
        <v>443</v>
      </c>
      <c r="I35" s="22" t="s">
        <v>443</v>
      </c>
      <c r="J35" s="22" t="s">
        <v>443</v>
      </c>
      <c r="K35" s="22" t="s">
        <v>443</v>
      </c>
      <c r="L35" s="22" t="s">
        <v>443</v>
      </c>
    </row>
    <row r="36" spans="1:12" x14ac:dyDescent="0.25">
      <c r="A36" s="24" t="s">
        <v>79</v>
      </c>
      <c r="B36" s="24" t="s">
        <v>65</v>
      </c>
      <c r="C36" s="24" t="s">
        <v>10</v>
      </c>
      <c r="D36" s="24">
        <v>1</v>
      </c>
      <c r="E36" s="24">
        <v>8</v>
      </c>
      <c r="F36" s="25">
        <v>7.55</v>
      </c>
      <c r="G36" s="22" t="s">
        <v>443</v>
      </c>
      <c r="H36" s="22" t="s">
        <v>443</v>
      </c>
      <c r="I36" s="22" t="s">
        <v>443</v>
      </c>
      <c r="J36" s="22" t="s">
        <v>443</v>
      </c>
      <c r="K36" s="22" t="s">
        <v>443</v>
      </c>
      <c r="L36" s="22" t="s">
        <v>443</v>
      </c>
    </row>
    <row r="37" spans="1:12" x14ac:dyDescent="0.25">
      <c r="A37" s="24" t="s">
        <v>81</v>
      </c>
      <c r="B37" s="24" t="s">
        <v>65</v>
      </c>
      <c r="C37" s="24" t="s">
        <v>10</v>
      </c>
      <c r="D37" s="24">
        <v>4</v>
      </c>
      <c r="E37" s="24">
        <v>1</v>
      </c>
      <c r="F37" s="25">
        <v>7.3</v>
      </c>
      <c r="G37" s="22">
        <v>17.510826075268813</v>
      </c>
      <c r="H37" s="22">
        <v>6.2141491395802229</v>
      </c>
      <c r="I37" s="22">
        <v>79.663123873453927</v>
      </c>
      <c r="J37" s="22">
        <v>19.529339853300744</v>
      </c>
      <c r="K37" s="22">
        <v>80.470660146699245</v>
      </c>
      <c r="L37" s="22">
        <v>56.745684931850221</v>
      </c>
    </row>
    <row r="38" spans="1:12" x14ac:dyDescent="0.25">
      <c r="A38" s="24" t="s">
        <v>83</v>
      </c>
      <c r="B38" s="24" t="s">
        <v>65</v>
      </c>
      <c r="C38" s="24" t="s">
        <v>10</v>
      </c>
      <c r="D38" s="24">
        <v>4</v>
      </c>
      <c r="E38" s="24">
        <v>2</v>
      </c>
      <c r="F38" s="25">
        <v>8.15</v>
      </c>
      <c r="G38" s="22">
        <v>14.779284184587809</v>
      </c>
      <c r="H38" s="22">
        <v>6.3306451612909838</v>
      </c>
      <c r="I38" s="22">
        <v>78.94465894465894</v>
      </c>
      <c r="J38" s="22">
        <v>18.484107579462105</v>
      </c>
      <c r="K38" s="22">
        <v>81.515892420537895</v>
      </c>
      <c r="L38" s="22">
        <v>60.405963074659098</v>
      </c>
    </row>
    <row r="39" spans="1:12" x14ac:dyDescent="0.25">
      <c r="A39" s="24" t="s">
        <v>85</v>
      </c>
      <c r="B39" s="24" t="s">
        <v>65</v>
      </c>
      <c r="C39" s="24" t="s">
        <v>10</v>
      </c>
      <c r="D39" s="24">
        <v>4</v>
      </c>
      <c r="E39" s="24">
        <v>3</v>
      </c>
      <c r="F39" s="25">
        <v>6.95</v>
      </c>
      <c r="G39" s="22">
        <v>18.521034933916933</v>
      </c>
      <c r="H39" s="22">
        <v>5.0520833333322903</v>
      </c>
      <c r="I39" s="22">
        <v>82.278248067721762</v>
      </c>
      <c r="J39" s="22">
        <v>18.553132571824168</v>
      </c>
      <c r="K39" s="22">
        <v>81.446867428175835</v>
      </c>
      <c r="L39" s="22">
        <v>57.873749160926607</v>
      </c>
    </row>
    <row r="40" spans="1:12" x14ac:dyDescent="0.25">
      <c r="A40" s="24" t="s">
        <v>87</v>
      </c>
      <c r="B40" s="24" t="s">
        <v>65</v>
      </c>
      <c r="C40" s="24" t="s">
        <v>10</v>
      </c>
      <c r="D40" s="24">
        <v>4</v>
      </c>
      <c r="E40" s="24">
        <v>4</v>
      </c>
      <c r="F40" s="25">
        <v>6.1</v>
      </c>
      <c r="G40" s="22">
        <v>13.909934968168358</v>
      </c>
      <c r="H40" s="22">
        <v>4.8962655601652969</v>
      </c>
      <c r="I40" s="22">
        <v>83.392259024934887</v>
      </c>
      <c r="J40" s="22">
        <v>18.319327731092461</v>
      </c>
      <c r="K40" s="22">
        <v>81.680672268907543</v>
      </c>
      <c r="L40" s="22">
        <v>62.38725860683769</v>
      </c>
    </row>
    <row r="41" spans="1:12" x14ac:dyDescent="0.25">
      <c r="A41" s="24" t="s">
        <v>89</v>
      </c>
      <c r="B41" s="24" t="s">
        <v>65</v>
      </c>
      <c r="C41" s="24" t="s">
        <v>10</v>
      </c>
      <c r="D41" s="24">
        <v>4</v>
      </c>
      <c r="E41" s="24">
        <v>5</v>
      </c>
      <c r="F41" s="25">
        <v>4.1500000000000004</v>
      </c>
      <c r="G41" s="22">
        <v>19.299056574294926</v>
      </c>
      <c r="H41" s="22">
        <v>6.2836624775587566</v>
      </c>
      <c r="I41" s="22">
        <v>78.010195113376696</v>
      </c>
      <c r="J41" s="22">
        <v>19.797495337063662</v>
      </c>
      <c r="K41" s="22">
        <v>80.202504662936335</v>
      </c>
      <c r="L41" s="22">
        <v>54.301960342704511</v>
      </c>
    </row>
    <row r="42" spans="1:12" x14ac:dyDescent="0.25">
      <c r="A42" s="24" t="s">
        <v>91</v>
      </c>
      <c r="B42" s="24" t="s">
        <v>65</v>
      </c>
      <c r="C42" s="24" t="s">
        <v>10</v>
      </c>
      <c r="D42" s="24">
        <v>4</v>
      </c>
      <c r="E42" s="24">
        <v>6</v>
      </c>
      <c r="F42" s="25">
        <v>5.3</v>
      </c>
      <c r="G42" s="22" t="s">
        <v>443</v>
      </c>
      <c r="H42" s="22" t="s">
        <v>443</v>
      </c>
      <c r="I42" s="22" t="s">
        <v>443</v>
      </c>
      <c r="J42" s="22" t="s">
        <v>443</v>
      </c>
      <c r="K42" s="22" t="s">
        <v>443</v>
      </c>
      <c r="L42" s="22" t="s">
        <v>443</v>
      </c>
    </row>
    <row r="43" spans="1:12" x14ac:dyDescent="0.25">
      <c r="A43" s="24" t="s">
        <v>93</v>
      </c>
      <c r="B43" s="24" t="s">
        <v>65</v>
      </c>
      <c r="C43" s="24" t="s">
        <v>10</v>
      </c>
      <c r="D43" s="24">
        <v>4</v>
      </c>
      <c r="E43" s="24">
        <v>7</v>
      </c>
      <c r="F43" s="25">
        <v>7.4</v>
      </c>
      <c r="G43" s="22" t="s">
        <v>443</v>
      </c>
      <c r="H43" s="22" t="s">
        <v>443</v>
      </c>
      <c r="I43" s="22" t="s">
        <v>443</v>
      </c>
      <c r="J43" s="22" t="s">
        <v>443</v>
      </c>
      <c r="K43" s="22" t="s">
        <v>443</v>
      </c>
      <c r="L43" s="22" t="s">
        <v>443</v>
      </c>
    </row>
    <row r="44" spans="1:12" x14ac:dyDescent="0.25">
      <c r="A44" s="24" t="s">
        <v>95</v>
      </c>
      <c r="B44" s="24" t="s">
        <v>65</v>
      </c>
      <c r="C44" s="24" t="s">
        <v>10</v>
      </c>
      <c r="D44" s="24">
        <v>4</v>
      </c>
      <c r="E44" s="24">
        <v>8</v>
      </c>
      <c r="F44" s="25">
        <v>7.95</v>
      </c>
      <c r="G44" s="22" t="s">
        <v>443</v>
      </c>
      <c r="H44" s="22" t="s">
        <v>443</v>
      </c>
      <c r="I44" s="22" t="s">
        <v>443</v>
      </c>
      <c r="J44" s="22" t="s">
        <v>443</v>
      </c>
      <c r="K44" s="22" t="s">
        <v>443</v>
      </c>
      <c r="L44" s="22" t="s">
        <v>443</v>
      </c>
    </row>
    <row r="45" spans="1:12" x14ac:dyDescent="0.25">
      <c r="A45" s="24" t="s">
        <v>97</v>
      </c>
      <c r="B45" s="24" t="s">
        <v>65</v>
      </c>
      <c r="C45" s="24" t="s">
        <v>10</v>
      </c>
      <c r="D45" s="24">
        <v>7</v>
      </c>
      <c r="E45" s="24">
        <v>1</v>
      </c>
      <c r="F45" s="25">
        <v>5.15</v>
      </c>
      <c r="G45" s="22">
        <v>15.684765931491572</v>
      </c>
      <c r="H45" s="22">
        <v>5.9959349593487596</v>
      </c>
      <c r="I45" s="22">
        <v>79.27897383737357</v>
      </c>
      <c r="J45" s="22">
        <v>27.215707662939742</v>
      </c>
      <c r="K45" s="22">
        <v>72.784292337060265</v>
      </c>
      <c r="L45" s="22">
        <v>51.541797816174885</v>
      </c>
    </row>
    <row r="46" spans="1:12" x14ac:dyDescent="0.25">
      <c r="A46" s="24" t="s">
        <v>99</v>
      </c>
      <c r="B46" s="24" t="s">
        <v>65</v>
      </c>
      <c r="C46" s="24" t="s">
        <v>10</v>
      </c>
      <c r="D46" s="24">
        <v>7</v>
      </c>
      <c r="E46" s="24">
        <v>2</v>
      </c>
      <c r="F46" s="25">
        <v>4.8</v>
      </c>
      <c r="G46" s="22">
        <v>16.455458615173669</v>
      </c>
      <c r="H46" s="22">
        <v>5.4285714285708222</v>
      </c>
      <c r="I46" s="22">
        <v>80.628923368470936</v>
      </c>
      <c r="J46" s="22">
        <v>20.483032711708969</v>
      </c>
      <c r="K46" s="22">
        <v>79.516967288291028</v>
      </c>
      <c r="L46" s="22">
        <v>57.63293724454654</v>
      </c>
    </row>
    <row r="47" spans="1:12" x14ac:dyDescent="0.25">
      <c r="A47" s="24" t="s">
        <v>101</v>
      </c>
      <c r="B47" s="24" t="s">
        <v>65</v>
      </c>
      <c r="C47" s="24" t="s">
        <v>10</v>
      </c>
      <c r="D47" s="24">
        <v>7</v>
      </c>
      <c r="E47" s="24">
        <v>3</v>
      </c>
      <c r="F47" s="25">
        <v>7.05</v>
      </c>
      <c r="G47" s="22">
        <v>15.828414529274781</v>
      </c>
      <c r="H47" s="22">
        <v>5.1150895140676607</v>
      </c>
      <c r="I47" s="22">
        <v>81.422480161080173</v>
      </c>
      <c r="J47" s="22">
        <v>17.182021039209435</v>
      </c>
      <c r="K47" s="22">
        <v>82.817978960790569</v>
      </c>
      <c r="L47" s="22">
        <v>61.874474917448126</v>
      </c>
    </row>
    <row r="48" spans="1:12" x14ac:dyDescent="0.25">
      <c r="A48" s="24" t="s">
        <v>103</v>
      </c>
      <c r="B48" s="24" t="s">
        <v>65</v>
      </c>
      <c r="C48" s="24" t="s">
        <v>10</v>
      </c>
      <c r="D48" s="24">
        <v>7</v>
      </c>
      <c r="E48" s="24">
        <v>4</v>
      </c>
      <c r="F48" s="25">
        <v>6.5</v>
      </c>
      <c r="G48" s="22">
        <v>16.514767303018669</v>
      </c>
      <c r="H48" s="22">
        <v>5.601092896174948</v>
      </c>
      <c r="I48" s="22">
        <v>80.436675789997508</v>
      </c>
      <c r="J48" s="22">
        <v>30.42925278219392</v>
      </c>
      <c r="K48" s="22">
        <v>69.570747217806073</v>
      </c>
      <c r="L48" s="22">
        <v>47.454887018612467</v>
      </c>
    </row>
    <row r="49" spans="1:12" x14ac:dyDescent="0.25">
      <c r="A49" s="24" t="s">
        <v>105</v>
      </c>
      <c r="B49" s="24" t="s">
        <v>65</v>
      </c>
      <c r="C49" s="24" t="s">
        <v>10</v>
      </c>
      <c r="D49" s="24">
        <v>7</v>
      </c>
      <c r="E49" s="24">
        <v>5</v>
      </c>
      <c r="F49" s="25">
        <v>7.3</v>
      </c>
      <c r="G49" s="22">
        <v>17.669734076168933</v>
      </c>
      <c r="H49" s="22">
        <v>6.5510597302489071</v>
      </c>
      <c r="I49" s="22">
        <v>80.387273836145567</v>
      </c>
      <c r="J49" s="22">
        <v>25.861622181912431</v>
      </c>
      <c r="K49" s="22">
        <v>74.138377818087577</v>
      </c>
      <c r="L49" s="22">
        <v>49.917584011669732</v>
      </c>
    </row>
    <row r="50" spans="1:12" x14ac:dyDescent="0.25">
      <c r="A50" s="24" t="s">
        <v>107</v>
      </c>
      <c r="B50" s="24" t="s">
        <v>65</v>
      </c>
      <c r="C50" s="24" t="s">
        <v>10</v>
      </c>
      <c r="D50" s="24">
        <v>7</v>
      </c>
      <c r="E50" s="24">
        <v>6</v>
      </c>
      <c r="F50" s="25">
        <v>5.5</v>
      </c>
      <c r="G50" s="22" t="s">
        <v>443</v>
      </c>
      <c r="H50" s="22" t="s">
        <v>443</v>
      </c>
      <c r="I50" s="22" t="s">
        <v>443</v>
      </c>
      <c r="J50" s="22" t="s">
        <v>443</v>
      </c>
      <c r="K50" s="22" t="s">
        <v>443</v>
      </c>
      <c r="L50" s="22" t="s">
        <v>443</v>
      </c>
    </row>
    <row r="51" spans="1:12" x14ac:dyDescent="0.25">
      <c r="A51" s="24" t="s">
        <v>109</v>
      </c>
      <c r="B51" s="24" t="s">
        <v>65</v>
      </c>
      <c r="C51" s="24" t="s">
        <v>10</v>
      </c>
      <c r="D51" s="24">
        <v>7</v>
      </c>
      <c r="E51" s="24">
        <v>7</v>
      </c>
      <c r="F51" s="25">
        <v>9.9499999999999993</v>
      </c>
      <c r="G51" s="22" t="s">
        <v>443</v>
      </c>
      <c r="H51" s="22" t="s">
        <v>443</v>
      </c>
      <c r="I51" s="22" t="s">
        <v>443</v>
      </c>
      <c r="J51" s="22" t="s">
        <v>443</v>
      </c>
      <c r="K51" s="22" t="s">
        <v>443</v>
      </c>
      <c r="L51" s="22" t="s">
        <v>443</v>
      </c>
    </row>
    <row r="52" spans="1:12" x14ac:dyDescent="0.25">
      <c r="A52" s="24" t="s">
        <v>111</v>
      </c>
      <c r="B52" s="24" t="s">
        <v>65</v>
      </c>
      <c r="C52" s="24" t="s">
        <v>10</v>
      </c>
      <c r="D52" s="24">
        <v>7</v>
      </c>
      <c r="E52" s="24">
        <v>8</v>
      </c>
      <c r="F52" s="25">
        <v>5.45</v>
      </c>
      <c r="G52" s="22" t="s">
        <v>443</v>
      </c>
      <c r="H52" s="22" t="s">
        <v>443</v>
      </c>
      <c r="I52" s="22" t="s">
        <v>443</v>
      </c>
      <c r="J52" s="22" t="s">
        <v>443</v>
      </c>
      <c r="K52" s="22" t="s">
        <v>443</v>
      </c>
      <c r="L52" s="22" t="s">
        <v>443</v>
      </c>
    </row>
    <row r="53" spans="1:12" x14ac:dyDescent="0.25">
      <c r="A53" s="24" t="s">
        <v>113</v>
      </c>
      <c r="B53" s="24" t="s">
        <v>65</v>
      </c>
      <c r="C53" s="24">
        <v>13</v>
      </c>
      <c r="D53" s="24">
        <v>3</v>
      </c>
      <c r="E53" s="24">
        <v>1</v>
      </c>
      <c r="F53" s="25">
        <v>5.55</v>
      </c>
      <c r="G53" s="22">
        <v>13.56728973277227</v>
      </c>
      <c r="H53" s="22">
        <v>5.3822295201618804</v>
      </c>
      <c r="I53" s="22">
        <v>79.605860972285313</v>
      </c>
      <c r="J53" s="22">
        <v>34.447229184071254</v>
      </c>
      <c r="K53" s="22">
        <v>65.552770815928739</v>
      </c>
      <c r="L53" s="22">
        <v>47.141219531121934</v>
      </c>
    </row>
    <row r="54" spans="1:12" x14ac:dyDescent="0.25">
      <c r="A54" s="24" t="s">
        <v>115</v>
      </c>
      <c r="B54" s="24" t="s">
        <v>65</v>
      </c>
      <c r="C54" s="24">
        <v>13</v>
      </c>
      <c r="D54" s="24">
        <v>3</v>
      </c>
      <c r="E54" s="24">
        <v>2</v>
      </c>
      <c r="F54" s="25">
        <v>6.15</v>
      </c>
      <c r="G54" s="22">
        <v>17.22759472092115</v>
      </c>
      <c r="H54" s="22">
        <v>5.0600885515512131</v>
      </c>
      <c r="I54" s="22">
        <v>79.746081217343473</v>
      </c>
      <c r="J54" s="22">
        <v>23.670513690880306</v>
      </c>
      <c r="K54" s="22">
        <v>76.329486309119702</v>
      </c>
      <c r="L54" s="22">
        <v>54.04180303664733</v>
      </c>
    </row>
    <row r="55" spans="1:12" x14ac:dyDescent="0.25">
      <c r="A55" s="24" t="s">
        <v>117</v>
      </c>
      <c r="B55" s="24" t="s">
        <v>65</v>
      </c>
      <c r="C55" s="24">
        <v>13</v>
      </c>
      <c r="D55" s="24">
        <v>3</v>
      </c>
      <c r="E55" s="24">
        <v>3</v>
      </c>
      <c r="F55" s="25">
        <v>6.05</v>
      </c>
      <c r="G55" s="22">
        <v>16.092915954170554</v>
      </c>
      <c r="H55" s="22">
        <v>5.3510063819349298</v>
      </c>
      <c r="I55" s="22">
        <v>79.354295339696804</v>
      </c>
      <c r="J55" s="22">
        <v>16.154473755779168</v>
      </c>
      <c r="K55" s="22">
        <v>83.845526244220821</v>
      </c>
      <c r="L55" s="22">
        <v>65.288748121936777</v>
      </c>
    </row>
    <row r="56" spans="1:12" x14ac:dyDescent="0.25">
      <c r="A56" s="24" t="s">
        <v>119</v>
      </c>
      <c r="B56" s="24" t="s">
        <v>65</v>
      </c>
      <c r="C56" s="24">
        <v>13</v>
      </c>
      <c r="D56" s="24">
        <v>3</v>
      </c>
      <c r="E56" s="24">
        <v>4</v>
      </c>
      <c r="F56" s="25">
        <v>6.8</v>
      </c>
      <c r="G56" s="22">
        <v>19.107877976190469</v>
      </c>
      <c r="H56" s="22">
        <v>6.1471861471844953</v>
      </c>
      <c r="I56" s="22">
        <v>78.032716082707992</v>
      </c>
      <c r="J56" s="22">
        <v>12.042270828213335</v>
      </c>
      <c r="K56" s="22">
        <v>87.957729171786667</v>
      </c>
      <c r="L56" s="22">
        <v>62.702665048411703</v>
      </c>
    </row>
    <row r="57" spans="1:12" x14ac:dyDescent="0.25">
      <c r="A57" s="24" t="s">
        <v>121</v>
      </c>
      <c r="B57" s="24" t="s">
        <v>65</v>
      </c>
      <c r="C57" s="24">
        <v>13</v>
      </c>
      <c r="D57" s="24">
        <v>3</v>
      </c>
      <c r="E57" s="24">
        <v>5</v>
      </c>
      <c r="F57" s="25">
        <v>5.7</v>
      </c>
      <c r="G57" s="22">
        <v>18.266621722846434</v>
      </c>
      <c r="H57" s="22">
        <v>5.2109811896289537</v>
      </c>
      <c r="I57" s="22">
        <v>81.568102204821756</v>
      </c>
      <c r="J57" s="22">
        <v>18.837339295695944</v>
      </c>
      <c r="K57" s="22">
        <v>81.162660704304059</v>
      </c>
      <c r="L57" s="22">
        <v>57.685057791828669</v>
      </c>
    </row>
    <row r="58" spans="1:12" x14ac:dyDescent="0.25">
      <c r="A58" s="24" t="s">
        <v>123</v>
      </c>
      <c r="B58" s="24" t="s">
        <v>65</v>
      </c>
      <c r="C58" s="24">
        <v>13</v>
      </c>
      <c r="D58" s="24">
        <v>3</v>
      </c>
      <c r="E58" s="24">
        <v>6</v>
      </c>
      <c r="F58" s="25">
        <v>10.199999999999999</v>
      </c>
      <c r="G58" s="22" t="s">
        <v>443</v>
      </c>
      <c r="H58" s="22" t="s">
        <v>443</v>
      </c>
      <c r="I58" s="22" t="s">
        <v>443</v>
      </c>
      <c r="J58" s="22" t="s">
        <v>443</v>
      </c>
      <c r="K58" s="22" t="s">
        <v>443</v>
      </c>
      <c r="L58" s="22" t="s">
        <v>443</v>
      </c>
    </row>
    <row r="59" spans="1:12" x14ac:dyDescent="0.25">
      <c r="A59" s="24" t="s">
        <v>125</v>
      </c>
      <c r="B59" s="24" t="s">
        <v>65</v>
      </c>
      <c r="C59" s="24">
        <v>13</v>
      </c>
      <c r="D59" s="24">
        <v>3</v>
      </c>
      <c r="E59" s="24">
        <v>7</v>
      </c>
      <c r="F59" s="25">
        <v>5.85</v>
      </c>
      <c r="G59" s="22" t="s">
        <v>443</v>
      </c>
      <c r="H59" s="22" t="s">
        <v>443</v>
      </c>
      <c r="I59" s="22" t="s">
        <v>443</v>
      </c>
      <c r="J59" s="22" t="s">
        <v>443</v>
      </c>
      <c r="K59" s="22" t="s">
        <v>443</v>
      </c>
      <c r="L59" s="22" t="s">
        <v>443</v>
      </c>
    </row>
    <row r="60" spans="1:12" x14ac:dyDescent="0.25">
      <c r="A60" s="24" t="s">
        <v>127</v>
      </c>
      <c r="B60" s="24" t="s">
        <v>65</v>
      </c>
      <c r="C60" s="24">
        <v>13</v>
      </c>
      <c r="D60" s="24">
        <v>5</v>
      </c>
      <c r="E60" s="24">
        <v>1</v>
      </c>
      <c r="F60" s="25">
        <v>5.2</v>
      </c>
      <c r="G60" s="22">
        <v>17.224787955226827</v>
      </c>
      <c r="H60" s="22">
        <v>5.6272757365113453</v>
      </c>
      <c r="I60" s="22">
        <v>79.4946488506111</v>
      </c>
      <c r="J60" s="22">
        <v>14.021000617665241</v>
      </c>
      <c r="K60" s="22">
        <v>85.978999382334763</v>
      </c>
      <c r="L60" s="22">
        <v>64.18119813970138</v>
      </c>
    </row>
    <row r="61" spans="1:12" x14ac:dyDescent="0.25">
      <c r="A61" s="24" t="s">
        <v>129</v>
      </c>
      <c r="B61" s="24" t="s">
        <v>65</v>
      </c>
      <c r="C61" s="24">
        <v>13</v>
      </c>
      <c r="D61" s="24">
        <v>5</v>
      </c>
      <c r="E61" s="24">
        <v>2</v>
      </c>
      <c r="F61" s="25">
        <v>6.15</v>
      </c>
      <c r="G61" s="22">
        <v>18.420772779339796</v>
      </c>
      <c r="H61" s="22">
        <v>8.2040306759394053</v>
      </c>
      <c r="I61" s="22">
        <v>77.642852739937126</v>
      </c>
      <c r="J61" s="22">
        <v>19.6029776674938</v>
      </c>
      <c r="K61" s="22">
        <v>80.397022332506197</v>
      </c>
      <c r="L61" s="22">
        <v>53.772218877227004</v>
      </c>
    </row>
    <row r="62" spans="1:12" x14ac:dyDescent="0.25">
      <c r="A62" s="24" t="s">
        <v>131</v>
      </c>
      <c r="B62" s="24" t="s">
        <v>65</v>
      </c>
      <c r="C62" s="24">
        <v>13</v>
      </c>
      <c r="D62" s="24">
        <v>5</v>
      </c>
      <c r="E62" s="24">
        <v>3</v>
      </c>
      <c r="F62" s="25">
        <v>5.45</v>
      </c>
      <c r="G62" s="22">
        <v>21.989671820949638</v>
      </c>
      <c r="H62" s="22">
        <v>6.0752255874212793</v>
      </c>
      <c r="I62" s="22">
        <v>76.581541566405335</v>
      </c>
      <c r="J62" s="22">
        <v>18.859794497845577</v>
      </c>
      <c r="K62" s="22">
        <v>81.14020550215443</v>
      </c>
      <c r="L62" s="22">
        <v>54.820520143065224</v>
      </c>
    </row>
    <row r="63" spans="1:12" x14ac:dyDescent="0.25">
      <c r="A63" s="24" t="s">
        <v>133</v>
      </c>
      <c r="B63" s="24" t="s">
        <v>65</v>
      </c>
      <c r="C63" s="24">
        <v>13</v>
      </c>
      <c r="D63" s="24">
        <v>5</v>
      </c>
      <c r="E63" s="24">
        <v>4</v>
      </c>
      <c r="F63" s="25">
        <v>7.75</v>
      </c>
      <c r="G63" s="22">
        <v>17.974556929551476</v>
      </c>
      <c r="H63" s="22">
        <v>5.4054054054063414</v>
      </c>
      <c r="I63" s="22">
        <v>75.160682624113491</v>
      </c>
      <c r="J63" s="22">
        <v>34.86504572830696</v>
      </c>
      <c r="K63" s="22">
        <v>65.134954271693047</v>
      </c>
      <c r="L63" s="22">
        <v>41.754991936735223</v>
      </c>
    </row>
    <row r="64" spans="1:12" x14ac:dyDescent="0.25">
      <c r="A64" s="24" t="s">
        <v>135</v>
      </c>
      <c r="B64" s="24" t="s">
        <v>65</v>
      </c>
      <c r="C64" s="24">
        <v>13</v>
      </c>
      <c r="D64" s="24">
        <v>5</v>
      </c>
      <c r="E64" s="24">
        <v>5</v>
      </c>
      <c r="F64" s="25">
        <v>6.55</v>
      </c>
      <c r="G64" s="22">
        <v>15.780321370615827</v>
      </c>
      <c r="H64" s="22">
        <v>6.5238095238090041</v>
      </c>
      <c r="I64" s="22">
        <v>80.993906282832526</v>
      </c>
      <c r="J64" s="22">
        <v>23.79767827529021</v>
      </c>
      <c r="K64" s="22">
        <v>76.20232172470979</v>
      </c>
      <c r="L64" s="22">
        <v>53.89819083028496</v>
      </c>
    </row>
    <row r="65" spans="1:12" x14ac:dyDescent="0.25">
      <c r="A65" s="24" t="s">
        <v>137</v>
      </c>
      <c r="B65" s="24" t="s">
        <v>65</v>
      </c>
      <c r="C65" s="24">
        <v>13</v>
      </c>
      <c r="D65" s="24">
        <v>5</v>
      </c>
      <c r="E65" s="24">
        <v>6</v>
      </c>
      <c r="F65" s="25">
        <v>5.0999999999999996</v>
      </c>
      <c r="G65" s="22" t="s">
        <v>443</v>
      </c>
      <c r="H65" s="22" t="s">
        <v>443</v>
      </c>
      <c r="I65" s="22" t="s">
        <v>443</v>
      </c>
      <c r="J65" s="22" t="s">
        <v>443</v>
      </c>
      <c r="K65" s="22" t="s">
        <v>443</v>
      </c>
      <c r="L65" s="22" t="s">
        <v>443</v>
      </c>
    </row>
    <row r="66" spans="1:12" x14ac:dyDescent="0.25">
      <c r="A66" s="24" t="s">
        <v>139</v>
      </c>
      <c r="B66" s="24" t="s">
        <v>65</v>
      </c>
      <c r="C66" s="24">
        <v>13</v>
      </c>
      <c r="D66" s="24">
        <v>5</v>
      </c>
      <c r="E66" s="24">
        <v>7</v>
      </c>
      <c r="F66" s="25">
        <v>4.5999999999999996</v>
      </c>
      <c r="G66" s="22" t="s">
        <v>443</v>
      </c>
      <c r="H66" s="22" t="s">
        <v>443</v>
      </c>
      <c r="I66" s="22" t="s">
        <v>443</v>
      </c>
      <c r="J66" s="22" t="s">
        <v>443</v>
      </c>
      <c r="K66" s="22" t="s">
        <v>443</v>
      </c>
      <c r="L66" s="22" t="s">
        <v>443</v>
      </c>
    </row>
    <row r="67" spans="1:12" x14ac:dyDescent="0.25">
      <c r="A67" s="24" t="s">
        <v>141</v>
      </c>
      <c r="B67" s="24" t="s">
        <v>65</v>
      </c>
      <c r="C67" s="24">
        <v>13</v>
      </c>
      <c r="D67" s="24">
        <v>2</v>
      </c>
      <c r="E67" s="24">
        <v>1</v>
      </c>
      <c r="F67" s="25">
        <v>5.2</v>
      </c>
      <c r="G67" s="22">
        <v>20.290635618787174</v>
      </c>
      <c r="H67" s="22">
        <v>6.774668630339268</v>
      </c>
      <c r="I67" s="22">
        <v>79.711744017653942</v>
      </c>
      <c r="J67" s="22">
        <v>14.853840924541135</v>
      </c>
      <c r="K67" s="22">
        <v>85.146159075458854</v>
      </c>
      <c r="L67" s="22">
        <v>58.080854826332427</v>
      </c>
    </row>
    <row r="68" spans="1:12" x14ac:dyDescent="0.25">
      <c r="A68" s="24" t="s">
        <v>143</v>
      </c>
      <c r="B68" s="24" t="s">
        <v>65</v>
      </c>
      <c r="C68" s="24">
        <v>13</v>
      </c>
      <c r="D68" s="24">
        <v>2</v>
      </c>
      <c r="E68" s="24">
        <v>2</v>
      </c>
      <c r="F68" s="25">
        <v>9.6999999999999993</v>
      </c>
      <c r="G68" s="22">
        <v>17.03704185384845</v>
      </c>
      <c r="H68" s="22">
        <v>5.7192589829670055</v>
      </c>
      <c r="I68" s="22">
        <v>76.057010365520981</v>
      </c>
      <c r="J68" s="22">
        <v>32.156080888635721</v>
      </c>
      <c r="K68" s="22">
        <v>67.843919111364286</v>
      </c>
      <c r="L68" s="22">
        <v>45.087618274548824</v>
      </c>
    </row>
    <row r="69" spans="1:12" x14ac:dyDescent="0.25">
      <c r="A69" s="24" t="s">
        <v>145</v>
      </c>
      <c r="B69" s="24" t="s">
        <v>65</v>
      </c>
      <c r="C69" s="24">
        <v>13</v>
      </c>
      <c r="D69" s="24">
        <v>2</v>
      </c>
      <c r="E69" s="24">
        <v>3</v>
      </c>
      <c r="F69" s="25">
        <v>5.0999999999999996</v>
      </c>
      <c r="G69" s="22">
        <v>15.674014244496172</v>
      </c>
      <c r="H69" s="22">
        <v>5.0669562070214491</v>
      </c>
      <c r="I69" s="22">
        <v>79.568376531829514</v>
      </c>
      <c r="J69" s="22">
        <v>14.808917197452226</v>
      </c>
      <c r="K69" s="22">
        <v>85.191082802547768</v>
      </c>
      <c r="L69" s="22">
        <v>64.450112351030157</v>
      </c>
    </row>
    <row r="70" spans="1:12" x14ac:dyDescent="0.25">
      <c r="A70" s="24" t="s">
        <v>147</v>
      </c>
      <c r="B70" s="24" t="s">
        <v>65</v>
      </c>
      <c r="C70" s="24">
        <v>13</v>
      </c>
      <c r="D70" s="24">
        <v>2</v>
      </c>
      <c r="E70" s="24">
        <v>4</v>
      </c>
      <c r="F70" s="25">
        <v>5.7</v>
      </c>
      <c r="G70" s="22">
        <v>16.783219139774697</v>
      </c>
      <c r="H70" s="22">
        <v>4.8283499446296583</v>
      </c>
      <c r="I70" s="22">
        <v>80.415052008974101</v>
      </c>
      <c r="J70" s="22">
        <v>15.620932048945589</v>
      </c>
      <c r="K70" s="22">
        <v>84.379067951054409</v>
      </c>
      <c r="L70" s="22">
        <v>62.767498866650058</v>
      </c>
    </row>
    <row r="71" spans="1:12" x14ac:dyDescent="0.25">
      <c r="A71" s="24" t="s">
        <v>149</v>
      </c>
      <c r="B71" s="24" t="s">
        <v>65</v>
      </c>
      <c r="C71" s="24">
        <v>13</v>
      </c>
      <c r="D71" s="24">
        <v>2</v>
      </c>
      <c r="E71" s="24">
        <v>5</v>
      </c>
      <c r="F71" s="25">
        <v>5.8</v>
      </c>
      <c r="G71" s="22">
        <v>14.045859426946629</v>
      </c>
      <c r="H71" s="22">
        <v>4.6082949308761068</v>
      </c>
      <c r="I71" s="22">
        <v>83.445604580666881</v>
      </c>
      <c r="J71" s="22">
        <v>19.023397761953149</v>
      </c>
      <c r="K71" s="22">
        <v>80.976602238046851</v>
      </c>
      <c r="L71" s="22">
        <v>62.322447880224118</v>
      </c>
    </row>
    <row r="72" spans="1:12" x14ac:dyDescent="0.25">
      <c r="A72" s="24" t="s">
        <v>151</v>
      </c>
      <c r="B72" s="24" t="s">
        <v>65</v>
      </c>
      <c r="C72" s="24">
        <v>13</v>
      </c>
      <c r="D72" s="24">
        <v>2</v>
      </c>
      <c r="E72" s="24">
        <v>6</v>
      </c>
      <c r="F72" s="25">
        <v>6.3</v>
      </c>
      <c r="G72" s="22" t="s">
        <v>443</v>
      </c>
      <c r="H72" s="22" t="s">
        <v>443</v>
      </c>
      <c r="I72" s="22" t="s">
        <v>443</v>
      </c>
      <c r="J72" s="22" t="s">
        <v>443</v>
      </c>
      <c r="K72" s="22" t="s">
        <v>443</v>
      </c>
      <c r="L72" s="22" t="s">
        <v>443</v>
      </c>
    </row>
    <row r="73" spans="1:12" x14ac:dyDescent="0.25">
      <c r="A73" s="24" t="s">
        <v>153</v>
      </c>
      <c r="B73" s="24" t="s">
        <v>65</v>
      </c>
      <c r="C73" s="24">
        <v>13</v>
      </c>
      <c r="D73" s="24">
        <v>2</v>
      </c>
      <c r="E73" s="24">
        <v>7</v>
      </c>
      <c r="F73" s="25">
        <v>6.25</v>
      </c>
      <c r="G73" s="22" t="s">
        <v>443</v>
      </c>
      <c r="H73" s="22" t="s">
        <v>443</v>
      </c>
      <c r="I73" s="22" t="s">
        <v>443</v>
      </c>
      <c r="J73" s="22" t="s">
        <v>443</v>
      </c>
      <c r="K73" s="22" t="s">
        <v>443</v>
      </c>
      <c r="L73" s="22" t="s">
        <v>443</v>
      </c>
    </row>
    <row r="74" spans="1:12" x14ac:dyDescent="0.25">
      <c r="A74" s="24" t="s">
        <v>155</v>
      </c>
      <c r="B74" s="24" t="s">
        <v>65</v>
      </c>
      <c r="C74" s="24">
        <v>13</v>
      </c>
      <c r="D74" s="24">
        <v>2</v>
      </c>
      <c r="E74" s="24">
        <v>8</v>
      </c>
      <c r="F74" s="25">
        <v>8.5500000000000007</v>
      </c>
      <c r="G74" s="22" t="s">
        <v>443</v>
      </c>
      <c r="H74" s="22" t="s">
        <v>443</v>
      </c>
      <c r="I74" s="22" t="s">
        <v>443</v>
      </c>
      <c r="J74" s="22" t="s">
        <v>443</v>
      </c>
      <c r="K74" s="22" t="s">
        <v>443</v>
      </c>
      <c r="L74" s="22" t="s">
        <v>443</v>
      </c>
    </row>
    <row r="75" spans="1:12" x14ac:dyDescent="0.25">
      <c r="A75" s="24" t="s">
        <v>157</v>
      </c>
      <c r="B75" s="24" t="s">
        <v>65</v>
      </c>
      <c r="C75" s="24">
        <v>54</v>
      </c>
      <c r="D75" s="24">
        <v>9</v>
      </c>
      <c r="E75" s="24">
        <v>1</v>
      </c>
      <c r="F75" s="25">
        <v>6.3</v>
      </c>
      <c r="G75" s="22">
        <v>15.753935601168806</v>
      </c>
      <c r="H75" s="22">
        <v>6.0288681570141289</v>
      </c>
      <c r="I75" s="22">
        <v>78.626533451372197</v>
      </c>
      <c r="J75" s="22">
        <v>15.502958579881678</v>
      </c>
      <c r="K75" s="22">
        <v>84.497041420118322</v>
      </c>
      <c r="L75" s="22">
        <v>62.714237661935385</v>
      </c>
    </row>
    <row r="76" spans="1:12" x14ac:dyDescent="0.25">
      <c r="A76" s="24" t="s">
        <v>159</v>
      </c>
      <c r="B76" s="24" t="s">
        <v>65</v>
      </c>
      <c r="C76" s="24">
        <v>54</v>
      </c>
      <c r="D76" s="24">
        <v>9</v>
      </c>
      <c r="E76" s="24">
        <v>2</v>
      </c>
      <c r="F76" s="25">
        <v>7.25</v>
      </c>
      <c r="G76" s="22">
        <v>14.977134088164249</v>
      </c>
      <c r="H76" s="22">
        <v>6.1090530967703547</v>
      </c>
      <c r="I76" s="22">
        <v>76.992626876917285</v>
      </c>
      <c r="J76" s="22">
        <v>20.304093567251478</v>
      </c>
      <c r="K76" s="22">
        <v>79.695906432748515</v>
      </c>
      <c r="L76" s="22">
        <v>58.609719247813921</v>
      </c>
    </row>
    <row r="77" spans="1:12" x14ac:dyDescent="0.25">
      <c r="A77" s="24" t="s">
        <v>161</v>
      </c>
      <c r="B77" s="24" t="s">
        <v>65</v>
      </c>
      <c r="C77" s="24">
        <v>54</v>
      </c>
      <c r="D77" s="24">
        <v>9</v>
      </c>
      <c r="E77" s="24">
        <v>3</v>
      </c>
      <c r="F77" s="25">
        <v>10.75</v>
      </c>
      <c r="G77" s="22">
        <v>14.22954160613935</v>
      </c>
      <c r="H77" s="22">
        <v>4.5500505561188991</v>
      </c>
      <c r="I77" s="22">
        <v>66.556836902800654</v>
      </c>
      <c r="J77" s="22">
        <v>51.833607006020848</v>
      </c>
      <c r="K77" s="22">
        <v>48.166392993979159</v>
      </c>
      <c r="L77" s="22">
        <v>30.401362011220002</v>
      </c>
    </row>
    <row r="78" spans="1:12" x14ac:dyDescent="0.25">
      <c r="A78" s="24" t="s">
        <v>163</v>
      </c>
      <c r="B78" s="24" t="s">
        <v>65</v>
      </c>
      <c r="C78" s="24">
        <v>54</v>
      </c>
      <c r="D78" s="24">
        <v>9</v>
      </c>
      <c r="E78" s="24">
        <v>4</v>
      </c>
      <c r="F78" s="25">
        <v>10</v>
      </c>
      <c r="G78" s="22">
        <v>16.430186551215915</v>
      </c>
      <c r="H78" s="22">
        <v>5.8398010700029452</v>
      </c>
      <c r="I78" s="22">
        <v>77.505919494869786</v>
      </c>
      <c r="J78" s="22">
        <v>16.290726817042611</v>
      </c>
      <c r="K78" s="22">
        <v>83.709273182957389</v>
      </c>
      <c r="L78" s="22">
        <v>61.439285561738529</v>
      </c>
    </row>
    <row r="79" spans="1:12" x14ac:dyDescent="0.25">
      <c r="A79" s="24" t="s">
        <v>165</v>
      </c>
      <c r="B79" s="24" t="s">
        <v>65</v>
      </c>
      <c r="C79" s="24">
        <v>54</v>
      </c>
      <c r="D79" s="24">
        <v>9</v>
      </c>
      <c r="E79" s="24">
        <v>5</v>
      </c>
      <c r="F79" s="25">
        <v>8.25</v>
      </c>
      <c r="G79" s="22">
        <v>18.456925200425353</v>
      </c>
      <c r="H79" s="22">
        <v>6.1750686118735985</v>
      </c>
      <c r="I79" s="22">
        <v>75.22799817601458</v>
      </c>
      <c r="J79" s="22">
        <v>19.903359410952611</v>
      </c>
      <c r="K79" s="22">
        <v>80.096640589047382</v>
      </c>
      <c r="L79" s="22">
        <v>55.464646776748438</v>
      </c>
    </row>
    <row r="80" spans="1:12" x14ac:dyDescent="0.25">
      <c r="A80" s="24" t="s">
        <v>167</v>
      </c>
      <c r="B80" s="24" t="s">
        <v>65</v>
      </c>
      <c r="C80" s="24">
        <v>54</v>
      </c>
      <c r="D80" s="24">
        <v>9</v>
      </c>
      <c r="E80" s="24">
        <v>6</v>
      </c>
      <c r="F80" s="25">
        <v>6.35</v>
      </c>
      <c r="G80" s="22" t="s">
        <v>443</v>
      </c>
      <c r="H80" s="22" t="s">
        <v>443</v>
      </c>
      <c r="I80" s="22" t="s">
        <v>443</v>
      </c>
      <c r="J80" s="22" t="s">
        <v>443</v>
      </c>
      <c r="K80" s="22" t="s">
        <v>443</v>
      </c>
      <c r="L80" s="22" t="s">
        <v>443</v>
      </c>
    </row>
    <row r="81" spans="1:12" x14ac:dyDescent="0.25">
      <c r="A81" s="24" t="s">
        <v>169</v>
      </c>
      <c r="B81" s="24" t="s">
        <v>65</v>
      </c>
      <c r="C81" s="24">
        <v>54</v>
      </c>
      <c r="D81" s="24">
        <v>9</v>
      </c>
      <c r="E81" s="24">
        <v>7</v>
      </c>
      <c r="F81" s="25">
        <v>4.7</v>
      </c>
      <c r="G81" s="22" t="s">
        <v>443</v>
      </c>
      <c r="H81" s="22" t="s">
        <v>443</v>
      </c>
      <c r="I81" s="22" t="s">
        <v>443</v>
      </c>
      <c r="J81" s="22" t="s">
        <v>443</v>
      </c>
      <c r="K81" s="22" t="s">
        <v>443</v>
      </c>
      <c r="L81" s="22" t="s">
        <v>443</v>
      </c>
    </row>
    <row r="82" spans="1:12" x14ac:dyDescent="0.25">
      <c r="A82" s="24" t="s">
        <v>171</v>
      </c>
      <c r="B82" s="24" t="s">
        <v>65</v>
      </c>
      <c r="C82" s="24">
        <v>54</v>
      </c>
      <c r="D82" s="24">
        <v>9</v>
      </c>
      <c r="E82" s="24">
        <v>8</v>
      </c>
      <c r="F82" s="25">
        <v>6.6</v>
      </c>
      <c r="G82" s="22" t="s">
        <v>443</v>
      </c>
      <c r="H82" s="22" t="s">
        <v>443</v>
      </c>
      <c r="I82" s="22" t="s">
        <v>443</v>
      </c>
      <c r="J82" s="22" t="s">
        <v>443</v>
      </c>
      <c r="K82" s="22" t="s">
        <v>443</v>
      </c>
      <c r="L82" s="22" t="s">
        <v>443</v>
      </c>
    </row>
    <row r="83" spans="1:12" x14ac:dyDescent="0.25">
      <c r="A83" s="24" t="s">
        <v>173</v>
      </c>
      <c r="B83" s="24" t="s">
        <v>65</v>
      </c>
      <c r="C83" s="24">
        <v>54</v>
      </c>
      <c r="D83" s="24">
        <v>6</v>
      </c>
      <c r="E83" s="24">
        <v>1</v>
      </c>
      <c r="F83" s="25">
        <v>5.9</v>
      </c>
      <c r="G83" s="22">
        <v>13.889837594445455</v>
      </c>
      <c r="H83" s="22">
        <v>5.3043478260860866</v>
      </c>
      <c r="I83" s="22">
        <v>79.470338983050851</v>
      </c>
      <c r="J83" s="22">
        <v>15.531475748193971</v>
      </c>
      <c r="K83" s="22">
        <v>84.468524251806031</v>
      </c>
      <c r="L83" s="22">
        <v>64.655124043410225</v>
      </c>
    </row>
    <row r="84" spans="1:12" x14ac:dyDescent="0.25">
      <c r="A84" s="24" t="s">
        <v>175</v>
      </c>
      <c r="B84" s="24" t="s">
        <v>65</v>
      </c>
      <c r="C84" s="24">
        <v>54</v>
      </c>
      <c r="D84" s="24">
        <v>6</v>
      </c>
      <c r="E84" s="24">
        <v>2</v>
      </c>
      <c r="F84" s="25">
        <v>7.45</v>
      </c>
      <c r="G84" s="22">
        <v>14.181087636314455</v>
      </c>
      <c r="H84" s="22">
        <v>4.56638826008927</v>
      </c>
      <c r="I84" s="22">
        <v>79.654864291299006</v>
      </c>
      <c r="J84" s="22">
        <v>17.897337359319234</v>
      </c>
      <c r="K84" s="22">
        <v>82.102662640680762</v>
      </c>
      <c r="L84" s="22">
        <v>63.355186744277042</v>
      </c>
    </row>
    <row r="85" spans="1:12" x14ac:dyDescent="0.25">
      <c r="A85" s="24" t="s">
        <v>177</v>
      </c>
      <c r="B85" s="24" t="s">
        <v>65</v>
      </c>
      <c r="C85" s="24">
        <v>54</v>
      </c>
      <c r="D85" s="24">
        <v>6</v>
      </c>
      <c r="E85" s="24">
        <v>3</v>
      </c>
      <c r="F85" s="25">
        <v>6</v>
      </c>
      <c r="G85" s="22">
        <v>14.268805094875239</v>
      </c>
      <c r="H85" s="22">
        <v>5.2687941743414788</v>
      </c>
      <c r="I85" s="22">
        <v>78.968315501111277</v>
      </c>
      <c r="J85" s="22">
        <v>15.704104202506796</v>
      </c>
      <c r="K85" s="22">
        <v>84.295895797493202</v>
      </c>
      <c r="L85" s="22">
        <v>64.758296528276489</v>
      </c>
    </row>
    <row r="86" spans="1:12" x14ac:dyDescent="0.25">
      <c r="A86" s="24" t="s">
        <v>179</v>
      </c>
      <c r="B86" s="24" t="s">
        <v>65</v>
      </c>
      <c r="C86" s="24">
        <v>54</v>
      </c>
      <c r="D86" s="24">
        <v>6</v>
      </c>
      <c r="E86" s="24">
        <v>4</v>
      </c>
      <c r="F86" s="25">
        <v>5.05</v>
      </c>
      <c r="G86" s="22">
        <v>14.017397738581378</v>
      </c>
      <c r="H86" s="22">
        <v>7.3282988516034093</v>
      </c>
      <c r="I86" s="22">
        <v>76.416493622070604</v>
      </c>
      <c r="J86" s="22">
        <v>24.427672955974863</v>
      </c>
      <c r="K86" s="22">
        <v>75.57232704402513</v>
      </c>
      <c r="L86" s="22">
        <v>54.22663045384035</v>
      </c>
    </row>
    <row r="87" spans="1:12" x14ac:dyDescent="0.25">
      <c r="A87" s="24" t="s">
        <v>181</v>
      </c>
      <c r="B87" s="24" t="s">
        <v>65</v>
      </c>
      <c r="C87" s="24">
        <v>54</v>
      </c>
      <c r="D87" s="24">
        <v>6</v>
      </c>
      <c r="E87" s="24">
        <v>5</v>
      </c>
      <c r="F87" s="25">
        <v>8.9</v>
      </c>
      <c r="G87" s="22">
        <v>16.565049253875234</v>
      </c>
      <c r="H87" s="22">
        <v>6.7254816631731327</v>
      </c>
      <c r="I87" s="22">
        <v>77.495654802387975</v>
      </c>
      <c r="J87" s="22">
        <v>15.883143049026165</v>
      </c>
      <c r="K87" s="22">
        <v>84.116856950973826</v>
      </c>
      <c r="L87" s="22">
        <v>57.752399368257898</v>
      </c>
    </row>
    <row r="88" spans="1:12" x14ac:dyDescent="0.25">
      <c r="A88" s="24" t="s">
        <v>183</v>
      </c>
      <c r="B88" s="24" t="s">
        <v>65</v>
      </c>
      <c r="C88" s="24">
        <v>54</v>
      </c>
      <c r="D88" s="24">
        <v>6</v>
      </c>
      <c r="E88" s="24">
        <v>6</v>
      </c>
      <c r="F88" s="25">
        <v>8.6</v>
      </c>
      <c r="G88" s="22" t="s">
        <v>443</v>
      </c>
      <c r="H88" s="22" t="s">
        <v>443</v>
      </c>
      <c r="I88" s="22" t="s">
        <v>443</v>
      </c>
      <c r="J88" s="22" t="s">
        <v>443</v>
      </c>
      <c r="K88" s="22" t="s">
        <v>443</v>
      </c>
      <c r="L88" s="22" t="s">
        <v>443</v>
      </c>
    </row>
    <row r="89" spans="1:12" x14ac:dyDescent="0.25">
      <c r="A89" s="24" t="s">
        <v>185</v>
      </c>
      <c r="B89" s="24" t="s">
        <v>65</v>
      </c>
      <c r="C89" s="24">
        <v>54</v>
      </c>
      <c r="D89" s="24">
        <v>6</v>
      </c>
      <c r="E89" s="24">
        <v>7</v>
      </c>
      <c r="F89" s="25">
        <v>6.7</v>
      </c>
      <c r="G89" s="22" t="s">
        <v>443</v>
      </c>
      <c r="H89" s="22" t="s">
        <v>443</v>
      </c>
      <c r="I89" s="22" t="s">
        <v>443</v>
      </c>
      <c r="J89" s="22" t="s">
        <v>443</v>
      </c>
      <c r="K89" s="22" t="s">
        <v>443</v>
      </c>
      <c r="L89" s="22" t="s">
        <v>443</v>
      </c>
    </row>
    <row r="90" spans="1:12" x14ac:dyDescent="0.25">
      <c r="A90" s="24" t="s">
        <v>187</v>
      </c>
      <c r="B90" s="24" t="s">
        <v>65</v>
      </c>
      <c r="C90" s="24">
        <v>54</v>
      </c>
      <c r="D90" s="24">
        <v>6</v>
      </c>
      <c r="E90" s="24">
        <v>8</v>
      </c>
      <c r="F90" s="25">
        <v>6</v>
      </c>
      <c r="G90" s="22" t="s">
        <v>443</v>
      </c>
      <c r="H90" s="22" t="s">
        <v>443</v>
      </c>
      <c r="I90" s="22" t="s">
        <v>443</v>
      </c>
      <c r="J90" s="22" t="s">
        <v>443</v>
      </c>
      <c r="K90" s="22" t="s">
        <v>443</v>
      </c>
      <c r="L90" s="22" t="s">
        <v>443</v>
      </c>
    </row>
    <row r="91" spans="1:12" x14ac:dyDescent="0.25">
      <c r="A91" s="24" t="s">
        <v>189</v>
      </c>
      <c r="B91" s="24" t="s">
        <v>65</v>
      </c>
      <c r="C91" s="24">
        <v>54</v>
      </c>
      <c r="D91" s="24">
        <v>8</v>
      </c>
      <c r="E91" s="24">
        <v>1</v>
      </c>
      <c r="F91" s="25">
        <v>6.65</v>
      </c>
      <c r="G91" s="22">
        <v>14.731581479571124</v>
      </c>
      <c r="H91" s="22">
        <v>5.8422904360735473</v>
      </c>
      <c r="I91" s="22">
        <v>78.287958115183258</v>
      </c>
      <c r="J91" s="22">
        <v>19.676874849288641</v>
      </c>
      <c r="K91" s="22">
        <v>80.323125150711348</v>
      </c>
      <c r="L91" s="22">
        <v>61.16249013832563</v>
      </c>
    </row>
    <row r="92" spans="1:12" x14ac:dyDescent="0.25">
      <c r="A92" s="24" t="s">
        <v>191</v>
      </c>
      <c r="B92" s="24" t="s">
        <v>65</v>
      </c>
      <c r="C92" s="24">
        <v>54</v>
      </c>
      <c r="D92" s="24">
        <v>8</v>
      </c>
      <c r="E92" s="24">
        <v>2</v>
      </c>
      <c r="F92" s="25">
        <v>7.55</v>
      </c>
      <c r="G92" s="22">
        <v>17.504783101449274</v>
      </c>
      <c r="H92" s="22" t="s">
        <v>443</v>
      </c>
      <c r="I92" s="22">
        <v>77.287946428571431</v>
      </c>
      <c r="J92" s="22">
        <v>19.847119847119878</v>
      </c>
      <c r="K92" s="22">
        <v>80.15288015288013</v>
      </c>
      <c r="L92" s="22" t="s">
        <v>443</v>
      </c>
    </row>
    <row r="93" spans="1:12" x14ac:dyDescent="0.25">
      <c r="A93" s="24" t="s">
        <v>193</v>
      </c>
      <c r="B93" s="24" t="s">
        <v>65</v>
      </c>
      <c r="C93" s="24">
        <v>54</v>
      </c>
      <c r="D93" s="24">
        <v>8</v>
      </c>
      <c r="E93" s="24">
        <v>3</v>
      </c>
      <c r="F93" s="25">
        <v>9.6</v>
      </c>
      <c r="G93" s="22">
        <v>13.720655276005818</v>
      </c>
      <c r="H93" s="22">
        <v>5.3333333333337549</v>
      </c>
      <c r="I93" s="22">
        <v>77.304601525310943</v>
      </c>
      <c r="J93" s="22">
        <v>31.10058637798825</v>
      </c>
      <c r="K93" s="22">
        <v>68.89941362201175</v>
      </c>
      <c r="L93" s="22">
        <v>49.84542501267218</v>
      </c>
    </row>
    <row r="94" spans="1:12" x14ac:dyDescent="0.25">
      <c r="A94" s="24" t="s">
        <v>195</v>
      </c>
      <c r="B94" s="24" t="s">
        <v>65</v>
      </c>
      <c r="C94" s="24">
        <v>54</v>
      </c>
      <c r="D94" s="24">
        <v>8</v>
      </c>
      <c r="E94" s="24">
        <v>4</v>
      </c>
      <c r="F94" s="25">
        <v>7.3</v>
      </c>
      <c r="G94" s="22">
        <v>16.020024766775077</v>
      </c>
      <c r="H94" s="22">
        <v>4.9689440993794989</v>
      </c>
      <c r="I94" s="22">
        <v>77.822322001282885</v>
      </c>
      <c r="J94" s="22">
        <v>20.245842371655808</v>
      </c>
      <c r="K94" s="22">
        <v>79.754157628344188</v>
      </c>
      <c r="L94" s="22">
        <v>58.765188762189617</v>
      </c>
    </row>
    <row r="95" spans="1:12" x14ac:dyDescent="0.25">
      <c r="A95" s="24" t="s">
        <v>197</v>
      </c>
      <c r="B95" s="24" t="s">
        <v>65</v>
      </c>
      <c r="C95" s="24">
        <v>54</v>
      </c>
      <c r="D95" s="24">
        <v>8</v>
      </c>
      <c r="E95" s="24">
        <v>5</v>
      </c>
      <c r="F95" s="25">
        <v>6.55</v>
      </c>
      <c r="G95" s="22">
        <v>16.539735641659806</v>
      </c>
      <c r="H95" s="22">
        <v>6.3160987074039907</v>
      </c>
      <c r="I95" s="22">
        <v>72.61742030728854</v>
      </c>
      <c r="J95" s="22">
        <v>32.20846645367412</v>
      </c>
      <c r="K95" s="22">
        <v>67.79153354632588</v>
      </c>
      <c r="L95" s="22">
        <v>44.935699197262082</v>
      </c>
    </row>
    <row r="96" spans="1:12" x14ac:dyDescent="0.25">
      <c r="A96" s="24" t="s">
        <v>199</v>
      </c>
      <c r="B96" s="24" t="s">
        <v>65</v>
      </c>
      <c r="C96" s="24">
        <v>54</v>
      </c>
      <c r="D96" s="24">
        <v>8</v>
      </c>
      <c r="E96" s="24">
        <v>6</v>
      </c>
      <c r="F96" s="25">
        <v>6.85</v>
      </c>
      <c r="G96" s="22" t="s">
        <v>443</v>
      </c>
      <c r="H96" s="22" t="s">
        <v>443</v>
      </c>
      <c r="I96" s="22" t="s">
        <v>443</v>
      </c>
      <c r="J96" s="22" t="s">
        <v>443</v>
      </c>
      <c r="K96" s="22" t="s">
        <v>443</v>
      </c>
      <c r="L96" s="22" t="s">
        <v>443</v>
      </c>
    </row>
    <row r="97" spans="1:12" x14ac:dyDescent="0.25">
      <c r="A97" s="24" t="s">
        <v>201</v>
      </c>
      <c r="B97" s="24" t="s">
        <v>65</v>
      </c>
      <c r="C97" s="24">
        <v>54</v>
      </c>
      <c r="D97" s="24">
        <v>8</v>
      </c>
      <c r="E97" s="24">
        <v>7</v>
      </c>
      <c r="F97" s="25">
        <v>8.15</v>
      </c>
      <c r="G97" s="22" t="s">
        <v>443</v>
      </c>
      <c r="H97" s="22" t="s">
        <v>443</v>
      </c>
      <c r="I97" s="22" t="s">
        <v>443</v>
      </c>
      <c r="J97" s="22" t="s">
        <v>443</v>
      </c>
      <c r="K97" s="22" t="s">
        <v>443</v>
      </c>
      <c r="L97" s="22" t="s">
        <v>443</v>
      </c>
    </row>
    <row r="98" spans="1:12" x14ac:dyDescent="0.25">
      <c r="A98" s="24" t="s">
        <v>203</v>
      </c>
      <c r="B98" s="24" t="s">
        <v>65</v>
      </c>
      <c r="C98" s="24">
        <v>54</v>
      </c>
      <c r="D98" s="24">
        <v>8</v>
      </c>
      <c r="E98" s="24">
        <v>8</v>
      </c>
      <c r="F98" s="25">
        <v>6.4</v>
      </c>
      <c r="G98" s="22" t="s">
        <v>443</v>
      </c>
      <c r="H98" s="22" t="s">
        <v>443</v>
      </c>
      <c r="I98" s="22" t="s">
        <v>443</v>
      </c>
      <c r="J98" s="22" t="s">
        <v>443</v>
      </c>
      <c r="K98" s="22" t="s">
        <v>443</v>
      </c>
      <c r="L98" s="22" t="s">
        <v>443</v>
      </c>
    </row>
    <row r="99" spans="1:12" x14ac:dyDescent="0.25">
      <c r="G99" s="22"/>
      <c r="H99" s="22"/>
      <c r="I99" s="22"/>
      <c r="J99" s="22"/>
      <c r="K99" s="22"/>
      <c r="L99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FFD52-50B2-4A65-B2BF-F7A9C1D71999}">
  <dimension ref="A1:B23"/>
  <sheetViews>
    <sheetView workbookViewId="0">
      <selection activeCell="B16" sqref="B16"/>
    </sheetView>
  </sheetViews>
  <sheetFormatPr defaultRowHeight="15" x14ac:dyDescent="0.25"/>
  <cols>
    <col min="1" max="1" width="18.140625" customWidth="1"/>
  </cols>
  <sheetData>
    <row r="1" spans="1:2" x14ac:dyDescent="0.25">
      <c r="A1" s="11" t="s">
        <v>444</v>
      </c>
    </row>
    <row r="3" spans="1:2" x14ac:dyDescent="0.25">
      <c r="A3" t="s">
        <v>445</v>
      </c>
    </row>
    <row r="5" spans="1:2" x14ac:dyDescent="0.25">
      <c r="A5" t="s">
        <v>458</v>
      </c>
      <c r="B5" t="s">
        <v>446</v>
      </c>
    </row>
    <row r="7" spans="1:2" x14ac:dyDescent="0.25">
      <c r="A7" t="s">
        <v>3</v>
      </c>
      <c r="B7" t="s">
        <v>447</v>
      </c>
    </row>
    <row r="8" spans="1:2" x14ac:dyDescent="0.25">
      <c r="B8" t="s">
        <v>448</v>
      </c>
    </row>
    <row r="10" spans="1:2" x14ac:dyDescent="0.25">
      <c r="A10" t="s">
        <v>4</v>
      </c>
      <c r="B10" t="s">
        <v>449</v>
      </c>
    </row>
    <row r="11" spans="1:2" x14ac:dyDescent="0.25">
      <c r="A11" t="s">
        <v>5</v>
      </c>
      <c r="B11" t="s">
        <v>450</v>
      </c>
    </row>
    <row r="12" spans="1:2" x14ac:dyDescent="0.25">
      <c r="A12" t="s">
        <v>442</v>
      </c>
      <c r="B12" t="s">
        <v>451</v>
      </c>
    </row>
    <row r="14" spans="1:2" x14ac:dyDescent="0.25">
      <c r="A14" t="s">
        <v>441</v>
      </c>
      <c r="B14" t="s">
        <v>459</v>
      </c>
    </row>
    <row r="16" spans="1:2" x14ac:dyDescent="0.25">
      <c r="A16" t="s">
        <v>443</v>
      </c>
      <c r="B16" t="s">
        <v>461</v>
      </c>
    </row>
    <row r="18" spans="1:2" x14ac:dyDescent="0.25">
      <c r="A18" t="s">
        <v>452</v>
      </c>
      <c r="B18" t="s">
        <v>453</v>
      </c>
    </row>
    <row r="19" spans="1:2" x14ac:dyDescent="0.25">
      <c r="B19" t="s">
        <v>460</v>
      </c>
    </row>
    <row r="21" spans="1:2" x14ac:dyDescent="0.25">
      <c r="A21" t="s">
        <v>454</v>
      </c>
      <c r="B21" t="s">
        <v>455</v>
      </c>
    </row>
    <row r="22" spans="1:2" x14ac:dyDescent="0.25">
      <c r="B22" t="s">
        <v>456</v>
      </c>
    </row>
    <row r="23" spans="1:2" x14ac:dyDescent="0.25">
      <c r="B23" t="s">
        <v>457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lmk xmlns="de106d1a-8bb7-4f5c-a311-1cdcd19c2f29" xsi:nil="true"/>
    <lcf76f155ced4ddcb4097134ff3c332f xmlns="de106d1a-8bb7-4f5c-a311-1cdcd19c2f29">
      <Terms xmlns="http://schemas.microsoft.com/office/infopath/2007/PartnerControls"/>
    </lcf76f155ced4ddcb4097134ff3c332f>
    <TaxCatchAll xmlns="1eaf255a-6d0a-4e64-b9e2-96ad16efe4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36DE9A5EE24418E40F3BA2F22C3B5" ma:contentTypeVersion="20" ma:contentTypeDescription="Create a new document." ma:contentTypeScope="" ma:versionID="a59c693324163aff0f4727d3a9240aa1">
  <xsd:schema xmlns:xsd="http://www.w3.org/2001/XMLSchema" xmlns:xs="http://www.w3.org/2001/XMLSchema" xmlns:p="http://schemas.microsoft.com/office/2006/metadata/properties" xmlns:ns2="de106d1a-8bb7-4f5c-a311-1cdcd19c2f29" xmlns:ns3="1eaf255a-6d0a-4e64-b9e2-96ad16efe479" targetNamespace="http://schemas.microsoft.com/office/2006/metadata/properties" ma:root="true" ma:fieldsID="ef8794a4f28629ed681f8bd00ad2c3c9" ns2:_="" ns3:_="">
    <xsd:import namespace="de106d1a-8bb7-4f5c-a311-1cdcd19c2f29"/>
    <xsd:import namespace="1eaf255a-6d0a-4e64-b9e2-96ad16efe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plmk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06d1a-8bb7-4f5c-a311-1cdcd19c2f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plmk" ma:index="12" nillable="true" ma:displayName="Text" ma:internalName="plmk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3a901c6-6db3-41aa-b982-22f35efe4b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f255a-6d0a-4e64-b9e2-96ad16efe4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d5abbb0-465b-4fc7-800d-756be7018577}" ma:internalName="TaxCatchAll" ma:showField="CatchAllData" ma:web="1eaf255a-6d0a-4e64-b9e2-96ad16efe4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265E2D-5B52-45BD-BD72-E432E67EE442}">
  <ds:schemaRefs>
    <ds:schemaRef ds:uri="http://schemas.microsoft.com/office/2006/metadata/properties"/>
    <ds:schemaRef ds:uri="http://schemas.microsoft.com/office/infopath/2007/PartnerControls"/>
    <ds:schemaRef ds:uri="de106d1a-8bb7-4f5c-a311-1cdcd19c2f29"/>
    <ds:schemaRef ds:uri="1eaf255a-6d0a-4e64-b9e2-96ad16efe479"/>
  </ds:schemaRefs>
</ds:datastoreItem>
</file>

<file path=customXml/itemProps2.xml><?xml version="1.0" encoding="utf-8"?>
<ds:datastoreItem xmlns:ds="http://schemas.openxmlformats.org/officeDocument/2006/customXml" ds:itemID="{CFB644CD-646B-473F-BA8B-F842543110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6FAF21-9580-475B-AD58-BCE4A2FC9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06d1a-8bb7-4f5c-a311-1cdcd19c2f29"/>
    <ds:schemaRef ds:uri="1eaf255a-6d0a-4e64-b9e2-96ad16efe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Protein</vt:lpstr>
      <vt:lpstr>Lipid</vt:lpstr>
      <vt:lpstr>Ash, Moisture &amp; TOM</vt:lpstr>
      <vt:lpstr>Carbs</vt:lpstr>
      <vt:lpstr>All</vt:lpstr>
      <vt:lpstr>SnailStats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 Delorme</dc:creator>
  <cp:lastModifiedBy>Lauren Fletcher</cp:lastModifiedBy>
  <dcterms:created xsi:type="dcterms:W3CDTF">2023-10-31T01:12:33Z</dcterms:created>
  <dcterms:modified xsi:type="dcterms:W3CDTF">2024-03-27T04:18:02Z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0x01010061936DE9A5EE24418E40F3BA2F22C3B5</vt:lpwstr>
  </property>
  <property fmtid="{D5CDD505-2E9C-101B-9397-08002B2CF9AE}" pid="3" name="MediaServiceImageTags">
    <vt:lpwstr/>
  </property>
</Properties>
</file>