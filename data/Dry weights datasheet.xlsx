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thron99.sharepoint.com/sites/BiosecurityToolboxEndeavourprogramme/Shared Documents/General/RA2 - PROTECT/RA1.2.1 Antifouling/2020_21/Biocontrol/Biocontrol diet and sustenance/data_analyses/data/"/>
    </mc:Choice>
  </mc:AlternateContent>
  <xr:revisionPtr revIDLastSave="126" documentId="13_ncr:1_{C9D9F055-EDBA-4E8E-AB2C-1130CABDA1FC}" xr6:coauthVersionLast="47" xr6:coauthVersionMax="47" xr10:uidLastSave="{37EC9D3F-5336-41D8-B62B-AD2338F7024A}"/>
  <bookViews>
    <workbookView xWindow="28680" yWindow="-45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S2" i="1"/>
  <c r="S57" i="1"/>
  <c r="X2" i="1"/>
  <c r="K14" i="3"/>
  <c r="W57" i="1"/>
  <c r="W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T2" i="1"/>
  <c r="J2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L14" i="3"/>
  <c r="L19" i="3" l="1"/>
  <c r="K19" i="3"/>
  <c r="L18" i="3"/>
  <c r="K18" i="3"/>
  <c r="L17" i="3"/>
  <c r="K17" i="3"/>
  <c r="L16" i="3"/>
  <c r="K16" i="3"/>
  <c r="L15" i="3"/>
  <c r="K15" i="3"/>
  <c r="M2" i="3"/>
  <c r="H4" i="2"/>
  <c r="C2" i="2" s="1"/>
  <c r="H2" i="2"/>
  <c r="S3" i="1"/>
  <c r="W3" i="1" s="1"/>
  <c r="T3" i="1"/>
  <c r="X3" i="1" s="1"/>
  <c r="S4" i="1"/>
  <c r="W4" i="1" s="1"/>
  <c r="T4" i="1"/>
  <c r="X4" i="1" s="1"/>
  <c r="S5" i="1"/>
  <c r="W5" i="1" s="1"/>
  <c r="T5" i="1"/>
  <c r="X5" i="1" s="1"/>
  <c r="S6" i="1"/>
  <c r="W6" i="1" s="1"/>
  <c r="T6" i="1"/>
  <c r="X6" i="1" s="1"/>
  <c r="S7" i="1"/>
  <c r="W7" i="1" s="1"/>
  <c r="T7" i="1"/>
  <c r="X7" i="1" s="1"/>
  <c r="S8" i="1"/>
  <c r="W8" i="1" s="1"/>
  <c r="T8" i="1"/>
  <c r="X8" i="1" s="1"/>
  <c r="S9" i="1"/>
  <c r="W9" i="1" s="1"/>
  <c r="T9" i="1"/>
  <c r="X9" i="1" s="1"/>
  <c r="S10" i="1"/>
  <c r="W10" i="1" s="1"/>
  <c r="T10" i="1"/>
  <c r="X10" i="1" s="1"/>
  <c r="S11" i="1"/>
  <c r="W11" i="1" s="1"/>
  <c r="T11" i="1"/>
  <c r="X11" i="1" s="1"/>
  <c r="S12" i="1"/>
  <c r="W12" i="1" s="1"/>
  <c r="T12" i="1"/>
  <c r="X12" i="1" s="1"/>
  <c r="S13" i="1"/>
  <c r="W13" i="1" s="1"/>
  <c r="T13" i="1"/>
  <c r="X13" i="1" s="1"/>
  <c r="S14" i="1"/>
  <c r="W14" i="1" s="1"/>
  <c r="T14" i="1"/>
  <c r="X14" i="1" s="1"/>
  <c r="S15" i="1"/>
  <c r="W15" i="1" s="1"/>
  <c r="T15" i="1"/>
  <c r="X15" i="1" s="1"/>
  <c r="S16" i="1"/>
  <c r="W16" i="1" s="1"/>
  <c r="T16" i="1"/>
  <c r="X16" i="1" s="1"/>
  <c r="S17" i="1"/>
  <c r="W17" i="1" s="1"/>
  <c r="T17" i="1"/>
  <c r="X17" i="1" s="1"/>
  <c r="S18" i="1"/>
  <c r="W18" i="1" s="1"/>
  <c r="T18" i="1"/>
  <c r="X18" i="1" s="1"/>
  <c r="S19" i="1"/>
  <c r="W19" i="1" s="1"/>
  <c r="T19" i="1"/>
  <c r="X19" i="1" s="1"/>
  <c r="S20" i="1"/>
  <c r="W20" i="1" s="1"/>
  <c r="T20" i="1"/>
  <c r="X20" i="1" s="1"/>
  <c r="S21" i="1"/>
  <c r="W21" i="1" s="1"/>
  <c r="T21" i="1"/>
  <c r="X21" i="1" s="1"/>
  <c r="S22" i="1"/>
  <c r="W22" i="1" s="1"/>
  <c r="T22" i="1"/>
  <c r="X22" i="1" s="1"/>
  <c r="S23" i="1"/>
  <c r="W23" i="1" s="1"/>
  <c r="T23" i="1"/>
  <c r="X23" i="1" s="1"/>
  <c r="S24" i="1"/>
  <c r="W24" i="1" s="1"/>
  <c r="T24" i="1"/>
  <c r="X24" i="1" s="1"/>
  <c r="S25" i="1"/>
  <c r="W25" i="1" s="1"/>
  <c r="T25" i="1"/>
  <c r="X25" i="1" s="1"/>
  <c r="S26" i="1"/>
  <c r="W26" i="1" s="1"/>
  <c r="T26" i="1"/>
  <c r="X26" i="1" s="1"/>
  <c r="S27" i="1"/>
  <c r="W27" i="1" s="1"/>
  <c r="T27" i="1"/>
  <c r="X27" i="1" s="1"/>
  <c r="S28" i="1"/>
  <c r="W28" i="1" s="1"/>
  <c r="T28" i="1"/>
  <c r="X28" i="1" s="1"/>
  <c r="S29" i="1"/>
  <c r="W29" i="1" s="1"/>
  <c r="T29" i="1"/>
  <c r="X29" i="1" s="1"/>
  <c r="S30" i="1"/>
  <c r="W30" i="1" s="1"/>
  <c r="T30" i="1"/>
  <c r="X30" i="1" s="1"/>
  <c r="S31" i="1"/>
  <c r="W31" i="1" s="1"/>
  <c r="T31" i="1"/>
  <c r="X31" i="1" s="1"/>
  <c r="S32" i="1"/>
  <c r="W32" i="1" s="1"/>
  <c r="T32" i="1"/>
  <c r="X32" i="1" s="1"/>
  <c r="S33" i="1"/>
  <c r="W33" i="1" s="1"/>
  <c r="T33" i="1"/>
  <c r="X33" i="1" s="1"/>
  <c r="S34" i="1"/>
  <c r="W34" i="1" s="1"/>
  <c r="T34" i="1"/>
  <c r="X34" i="1" s="1"/>
  <c r="S35" i="1"/>
  <c r="W35" i="1" s="1"/>
  <c r="T35" i="1"/>
  <c r="X35" i="1" s="1"/>
  <c r="S36" i="1"/>
  <c r="W36" i="1" s="1"/>
  <c r="T36" i="1"/>
  <c r="X36" i="1" s="1"/>
  <c r="S37" i="1"/>
  <c r="W37" i="1" s="1"/>
  <c r="T37" i="1"/>
  <c r="X37" i="1" s="1"/>
  <c r="S38" i="1"/>
  <c r="W38" i="1" s="1"/>
  <c r="T38" i="1"/>
  <c r="X38" i="1" s="1"/>
  <c r="S39" i="1"/>
  <c r="W39" i="1" s="1"/>
  <c r="T39" i="1"/>
  <c r="X39" i="1" s="1"/>
  <c r="S40" i="1"/>
  <c r="W40" i="1" s="1"/>
  <c r="T40" i="1"/>
  <c r="X40" i="1" s="1"/>
  <c r="S41" i="1"/>
  <c r="W41" i="1" s="1"/>
  <c r="T41" i="1"/>
  <c r="X41" i="1" s="1"/>
  <c r="S42" i="1"/>
  <c r="W42" i="1" s="1"/>
  <c r="T42" i="1"/>
  <c r="X42" i="1" s="1"/>
  <c r="S43" i="1"/>
  <c r="W43" i="1" s="1"/>
  <c r="T43" i="1"/>
  <c r="X43" i="1" s="1"/>
  <c r="S44" i="1"/>
  <c r="W44" i="1" s="1"/>
  <c r="T44" i="1"/>
  <c r="X44" i="1" s="1"/>
  <c r="S45" i="1"/>
  <c r="W45" i="1" s="1"/>
  <c r="T45" i="1"/>
  <c r="X45" i="1" s="1"/>
  <c r="S46" i="1"/>
  <c r="W46" i="1" s="1"/>
  <c r="T46" i="1"/>
  <c r="X46" i="1" s="1"/>
  <c r="S47" i="1"/>
  <c r="W47" i="1" s="1"/>
  <c r="T47" i="1"/>
  <c r="X47" i="1" s="1"/>
  <c r="S48" i="1"/>
  <c r="W48" i="1" s="1"/>
  <c r="T48" i="1"/>
  <c r="X48" i="1" s="1"/>
  <c r="S49" i="1"/>
  <c r="W49" i="1" s="1"/>
  <c r="T49" i="1"/>
  <c r="X49" i="1" s="1"/>
  <c r="S50" i="1"/>
  <c r="W50" i="1" s="1"/>
  <c r="T50" i="1"/>
  <c r="X50" i="1" s="1"/>
  <c r="S51" i="1"/>
  <c r="W51" i="1" s="1"/>
  <c r="T51" i="1"/>
  <c r="X51" i="1" s="1"/>
  <c r="S52" i="1"/>
  <c r="W52" i="1" s="1"/>
  <c r="T52" i="1"/>
  <c r="X52" i="1" s="1"/>
  <c r="S53" i="1"/>
  <c r="W53" i="1" s="1"/>
  <c r="T53" i="1"/>
  <c r="X53" i="1" s="1"/>
  <c r="S54" i="1"/>
  <c r="W54" i="1" s="1"/>
  <c r="T54" i="1"/>
  <c r="X54" i="1" s="1"/>
  <c r="S55" i="1"/>
  <c r="W55" i="1" s="1"/>
  <c r="T55" i="1"/>
  <c r="X55" i="1" s="1"/>
  <c r="S56" i="1"/>
  <c r="W56" i="1" s="1"/>
  <c r="T56" i="1"/>
  <c r="X56" i="1" s="1"/>
  <c r="T57" i="1"/>
  <c r="X57" i="1" s="1"/>
  <c r="S58" i="1"/>
  <c r="W58" i="1" s="1"/>
  <c r="T58" i="1"/>
  <c r="X58" i="1" s="1"/>
  <c r="S59" i="1"/>
  <c r="W59" i="1" s="1"/>
  <c r="T59" i="1"/>
  <c r="X59" i="1" s="1"/>
  <c r="S60" i="1"/>
  <c r="W60" i="1" s="1"/>
  <c r="T60" i="1"/>
  <c r="X60" i="1" s="1"/>
  <c r="S61" i="1"/>
  <c r="W61" i="1" s="1"/>
  <c r="T61" i="1"/>
  <c r="X61" i="1" s="1"/>
  <c r="S62" i="1"/>
  <c r="W62" i="1" s="1"/>
  <c r="T62" i="1"/>
  <c r="X62" i="1" s="1"/>
  <c r="S63" i="1"/>
  <c r="W63" i="1" s="1"/>
  <c r="T63" i="1"/>
  <c r="X63" i="1" s="1"/>
  <c r="S64" i="1"/>
  <c r="W64" i="1" s="1"/>
  <c r="T64" i="1"/>
  <c r="X64" i="1" s="1"/>
  <c r="S65" i="1"/>
  <c r="W65" i="1" s="1"/>
  <c r="T65" i="1"/>
  <c r="X65" i="1" s="1"/>
  <c r="S66" i="1"/>
  <c r="W66" i="1" s="1"/>
  <c r="T66" i="1"/>
  <c r="X66" i="1" s="1"/>
  <c r="S67" i="1"/>
  <c r="W67" i="1" s="1"/>
  <c r="T67" i="1"/>
  <c r="X67" i="1" s="1"/>
  <c r="S68" i="1"/>
  <c r="W68" i="1" s="1"/>
  <c r="T68" i="1"/>
  <c r="X68" i="1" s="1"/>
  <c r="S69" i="1"/>
  <c r="W69" i="1" s="1"/>
  <c r="T69" i="1"/>
  <c r="X69" i="1" s="1"/>
  <c r="S70" i="1"/>
  <c r="W70" i="1" s="1"/>
  <c r="T70" i="1"/>
  <c r="X70" i="1" s="1"/>
  <c r="S71" i="1"/>
  <c r="W71" i="1" s="1"/>
  <c r="T71" i="1"/>
  <c r="X71" i="1" s="1"/>
  <c r="S72" i="1"/>
  <c r="W72" i="1" s="1"/>
  <c r="T72" i="1"/>
  <c r="X72" i="1" s="1"/>
  <c r="S73" i="1"/>
  <c r="W73" i="1" s="1"/>
  <c r="T73" i="1"/>
  <c r="X73" i="1" s="1"/>
  <c r="L67" i="3" l="1"/>
  <c r="L72" i="3"/>
  <c r="L104" i="3"/>
  <c r="L90" i="3"/>
  <c r="L107" i="3"/>
  <c r="L102" i="3"/>
  <c r="L88" i="3"/>
  <c r="K87" i="3"/>
  <c r="L70" i="3"/>
  <c r="K103" i="3"/>
  <c r="L106" i="3"/>
  <c r="L103" i="3"/>
  <c r="L69" i="3"/>
  <c r="L89" i="3"/>
  <c r="L86" i="3"/>
  <c r="L71" i="3"/>
  <c r="L105" i="3"/>
  <c r="L68" i="3"/>
  <c r="K71" i="3"/>
  <c r="K88" i="3"/>
  <c r="L87" i="3"/>
  <c r="L45" i="3"/>
  <c r="K45" i="3"/>
  <c r="K32" i="3"/>
  <c r="K49" i="3"/>
  <c r="K69" i="3"/>
  <c r="K89" i="3"/>
  <c r="K104" i="3"/>
  <c r="L32" i="3"/>
  <c r="L49" i="3"/>
  <c r="K33" i="3"/>
  <c r="K46" i="3"/>
  <c r="K50" i="3"/>
  <c r="K70" i="3"/>
  <c r="K86" i="3"/>
  <c r="K90" i="3"/>
  <c r="K105" i="3"/>
  <c r="L33" i="3"/>
  <c r="L50" i="3"/>
  <c r="L46" i="3"/>
  <c r="K30" i="3"/>
  <c r="K34" i="3"/>
  <c r="K47" i="3"/>
  <c r="K67" i="3"/>
  <c r="K102" i="3"/>
  <c r="K106" i="3"/>
  <c r="L30" i="3"/>
  <c r="L34" i="3"/>
  <c r="L47" i="3"/>
  <c r="K107" i="3"/>
  <c r="K31" i="3"/>
  <c r="K35" i="3"/>
  <c r="K48" i="3"/>
  <c r="K68" i="3"/>
  <c r="K72" i="3"/>
  <c r="L31" i="3"/>
  <c r="L35" i="3"/>
  <c r="L48" i="3"/>
  <c r="D2" i="2"/>
  <c r="E2" i="2" s="1"/>
  <c r="C3" i="2"/>
  <c r="C4" i="2" s="1"/>
  <c r="L85" i="3" l="1"/>
  <c r="K85" i="3"/>
  <c r="C5" i="2"/>
  <c r="D4" i="2"/>
  <c r="E4" i="2" s="1"/>
  <c r="D3" i="2"/>
  <c r="E3" i="2" s="1"/>
  <c r="C6" i="2" l="1"/>
  <c r="D5" i="2"/>
  <c r="E5" i="2" s="1"/>
  <c r="C7" i="2" l="1"/>
  <c r="D6" i="2"/>
  <c r="E6" i="2" s="1"/>
  <c r="C8" i="2" l="1"/>
  <c r="D7" i="2"/>
  <c r="E7" i="2" s="1"/>
  <c r="C9" i="2" l="1"/>
  <c r="D8" i="2"/>
  <c r="E8" i="2" s="1"/>
  <c r="C10" i="2" l="1"/>
  <c r="D9" i="2"/>
  <c r="E9" i="2" s="1"/>
  <c r="C11" i="2" l="1"/>
  <c r="D10" i="2"/>
  <c r="E10" i="2" s="1"/>
  <c r="C12" i="2" l="1"/>
  <c r="D12" i="2" s="1"/>
  <c r="E12" i="2" s="1"/>
  <c r="D11" i="2"/>
  <c r="E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tc={77F5F601-7C27-4BAA-99C8-E1E93B386829}</author>
    <author>tc={6D54EFB7-3E57-4D3D-8155-4E012F596848}</author>
    <author>tc={A1172DE9-5BCA-4F21-B62B-21CC039152EE}</author>
  </authors>
  <commentList>
    <comment ref="J1" authorId="0" shapeId="0" xr:uid="{77F5F601-7C27-4BAA-99C8-E1E93B386829}">
      <text>
        <t>[Threaded comment]
Your version of Excel allows you to read this threaded comment; however, any edits to it will get removed if the file is opened in a newer version of Excel. Learn more: https://go.microsoft.com/fwlink/?linkid=870924
Comment:
    @Javier Atalah I think this is the dry weight standardised to g/m2, check my maths though.. The panels are 1875 cm2
Reply:
    Yep, this is correct. 1 m² = 10,000 cm².</t>
      </text>
    </comment>
    <comment ref="K56" authorId="1" shapeId="0" xr:uid="{6D54EFB7-3E57-4D3D-8155-4E012F596848}">
      <text>
        <t>[Threaded comment]
Your version of Excel allows you to read this threaded comment; however, any edits to it will get removed if the file is opened in a newer version of Excel. Learn more: https://go.microsoft.com/fwlink/?linkid=870924
Comment:
    half the ADL</t>
      </text>
    </comment>
    <comment ref="K58" authorId="2" shapeId="0" xr:uid="{A1172DE9-5BCA-4F21-B62B-21CC0391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half the ADL</t>
      </text>
    </comment>
  </commentList>
</comments>
</file>

<file path=xl/sharedStrings.xml><?xml version="1.0" encoding="utf-8"?>
<sst xmlns="http://schemas.openxmlformats.org/spreadsheetml/2006/main" count="163" uniqueCount="49">
  <si>
    <t>Season</t>
  </si>
  <si>
    <t>Round</t>
  </si>
  <si>
    <t>Age</t>
  </si>
  <si>
    <t>Location</t>
  </si>
  <si>
    <t>Replicate</t>
  </si>
  <si>
    <t>% moisture</t>
  </si>
  <si>
    <t>Wet weight g</t>
  </si>
  <si>
    <t>Dry weight (g)</t>
  </si>
  <si>
    <t>Dry weight (g/cm2)</t>
  </si>
  <si>
    <t>Dry weight (g/m2)</t>
  </si>
  <si>
    <t>Protein g/100g dry weight</t>
  </si>
  <si>
    <t>Protein g/100g wet weight</t>
  </si>
  <si>
    <t>fat g/100g dry weight</t>
  </si>
  <si>
    <t>fat g/100g wet weight</t>
  </si>
  <si>
    <t>fat mg/g dry weight</t>
  </si>
  <si>
    <t>fat mg/g wet weight</t>
  </si>
  <si>
    <t>total fat (g/cm2)</t>
  </si>
  <si>
    <t>protein g/cm2</t>
  </si>
  <si>
    <t>fat g/m2</t>
  </si>
  <si>
    <t>protein g/m2</t>
  </si>
  <si>
    <t>No. of days</t>
  </si>
  <si>
    <t>average dry weight accumulation (g/m2/day)</t>
  </si>
  <si>
    <t>average daily fat accumulation (g/m2/day)</t>
  </si>
  <si>
    <t>average daily protein accumulation (g/m2/day)</t>
  </si>
  <si>
    <t>A</t>
  </si>
  <si>
    <t>B</t>
  </si>
  <si>
    <t>C</t>
  </si>
  <si>
    <t>Fixed</t>
  </si>
  <si>
    <t>1 = High growth</t>
  </si>
  <si>
    <t>Settlement plate size = 37.5 x 50 cm</t>
  </si>
  <si>
    <t>2 = Low growth</t>
  </si>
  <si>
    <t>1 = 13 days</t>
  </si>
  <si>
    <t>2 = 32 days</t>
  </si>
  <si>
    <t>3 = 54 days</t>
  </si>
  <si>
    <t>Random</t>
  </si>
  <si>
    <t>1=Berth C</t>
  </si>
  <si>
    <t>2=Berth G</t>
  </si>
  <si>
    <t>Time (d)</t>
  </si>
  <si>
    <t>Average</t>
  </si>
  <si>
    <t>SE</t>
  </si>
  <si>
    <t>Summer</t>
  </si>
  <si>
    <t>Winter</t>
  </si>
  <si>
    <t>Time</t>
  </si>
  <si>
    <t>Occlusion (proportion)</t>
  </si>
  <si>
    <t>Area</t>
  </si>
  <si>
    <t>Radius</t>
  </si>
  <si>
    <t>Fouling thickness</t>
  </si>
  <si>
    <t>pi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</si>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</sst>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00"/>
    <numFmt numFmtId="167" formatCode="0.00000"/>
    <numFmt numFmtId="168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2" fontId="0" fillId="2" borderId="0" xfId="0" applyNumberFormat="1" applyFill="1" applyAlignment="1">
      <alignment horizontal="center"/>
    </xf>
    <xf numFmtId="0" fontId="3" fillId="3" borderId="0" xfId="0" applyFont="1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0" fillId="3" borderId="0" xfId="0" applyFill="1"/>
    <xf numFmtId="0" fontId="1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65" fontId="0" fillId="0" borderId="0" xfId="0" applyNumberFormat="1" applyAlignment="1">
      <alignment horizontal="center"/>
    </xf>
    <xf numFmtId="1" fontId="0" fillId="0" borderId="0" xfId="0" applyNumberFormat="1"/>
    <xf numFmtId="0" fontId="1" fillId="2" borderId="0" xfId="0" applyFont="1" applyFill="1" applyAlignment="1">
      <alignment horizontal="center" wrapText="1"/>
    </xf>
    <xf numFmtId="164" fontId="0" fillId="2" borderId="0" xfId="0" applyNumberFormat="1" applyFill="1" applyAlignment="1">
      <alignment horizontal="center"/>
    </xf>
    <xf numFmtId="167" fontId="0" fillId="3" borderId="0" xfId="0" applyNumberFormat="1" applyFill="1"/>
    <xf numFmtId="168" fontId="0" fillId="3" borderId="0" xfId="0" applyNumberFormat="1" applyFill="1"/>
    <xf numFmtId="0" fontId="4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4" fontId="1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47091508403161"/>
          <c:y val="2.5611624163597163E-2"/>
          <c:w val="0.86552908491596836"/>
          <c:h val="0.762669410126716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Sheet3!$K$13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Sheet3!$L$14:$L$19</c:f>
                <c:numCache>
                  <c:formatCode>General</c:formatCode>
                  <c:ptCount val="6"/>
                  <c:pt idx="0">
                    <c:v>8.5092276709202844E-2</c:v>
                  </c:pt>
                  <c:pt idx="1">
                    <c:v>0.28794309456396133</c:v>
                  </c:pt>
                  <c:pt idx="2">
                    <c:v>1.4893378533137225</c:v>
                  </c:pt>
                  <c:pt idx="3">
                    <c:v>1.8465759673055186E-2</c:v>
                  </c:pt>
                  <c:pt idx="4">
                    <c:v>7.4268561516956891E-2</c:v>
                  </c:pt>
                  <c:pt idx="5">
                    <c:v>7.4669787120267089E-2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Sheet3!$I$14:$J$19</c:f>
              <c:multiLvlStrCache>
                <c:ptCount val="6"/>
                <c:lvl>
                  <c:pt idx="0">
                    <c:v>13</c:v>
                  </c:pt>
                  <c:pt idx="1">
                    <c:v>32</c:v>
                  </c:pt>
                  <c:pt idx="2">
                    <c:v>54</c:v>
                  </c:pt>
                  <c:pt idx="3">
                    <c:v>13</c:v>
                  </c:pt>
                  <c:pt idx="4">
                    <c:v>32</c:v>
                  </c:pt>
                  <c:pt idx="5">
                    <c:v>54</c:v>
                  </c:pt>
                </c:lvl>
                <c:lvl>
                  <c:pt idx="0">
                    <c:v>Summer</c:v>
                  </c:pt>
                  <c:pt idx="1">
                    <c:v>Summer</c:v>
                  </c:pt>
                  <c:pt idx="2">
                    <c:v>Summer</c:v>
                  </c:pt>
                  <c:pt idx="3">
                    <c:v>Winter</c:v>
                  </c:pt>
                  <c:pt idx="4">
                    <c:v>Winter</c:v>
                  </c:pt>
                  <c:pt idx="5">
                    <c:v>Winter</c:v>
                  </c:pt>
                </c:lvl>
              </c:multiLvlStrCache>
            </c:multiLvlStrRef>
          </c:cat>
          <c:val>
            <c:numRef>
              <c:f>Sheet3!$K$14:$K$19</c:f>
              <c:numCache>
                <c:formatCode>0.00</c:formatCode>
                <c:ptCount val="6"/>
                <c:pt idx="0">
                  <c:v>0.8298333333333332</c:v>
                </c:pt>
                <c:pt idx="1">
                  <c:v>3.5931833333333336</c:v>
                </c:pt>
                <c:pt idx="2">
                  <c:v>15.348566666666665</c:v>
                </c:pt>
                <c:pt idx="3">
                  <c:v>0.13962499999999967</c:v>
                </c:pt>
                <c:pt idx="4">
                  <c:v>1.0521083333333334</c:v>
                </c:pt>
                <c:pt idx="5">
                  <c:v>1.5005083333333331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6-43E2-ABC5-148C2B8EC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370328"/>
        <c:axId val="809372624"/>
      </c:barChart>
      <c:catAx>
        <c:axId val="809370328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2624"/>
        <c:crosses val="autoZero"/>
        <c:auto val="1"/>
        <c:lblAlgn val="ctr"/>
        <c:lblOffset val="100"/>
        <c:noMultiLvlLbl val="0"/>
      </c:catAx>
      <c:valAx>
        <c:axId val="809372624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Sheet3!$K$29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Sheet3!$L$30:$L$35</c:f>
                <c:numCache>
                  <c:formatCode>General</c:formatCode>
                  <c:ptCount val="6"/>
                  <c:pt idx="0">
                    <c:v>3.4028856450035824E-2</c:v>
                  </c:pt>
                  <c:pt idx="1">
                    <c:v>0.30256400155684332</c:v>
                  </c:pt>
                  <c:pt idx="2">
                    <c:v>2.3158445907400638</c:v>
                  </c:pt>
                  <c:pt idx="3">
                    <c:v>4.5846245415057593E-3</c:v>
                  </c:pt>
                  <c:pt idx="4">
                    <c:v>4.429586934259587E-2</c:v>
                  </c:pt>
                  <c:pt idx="5">
                    <c:v>6.4715412898915387E-2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Sheet3!$I$30:$J$35</c:f>
              <c:multiLvlStrCache>
                <c:ptCount val="6"/>
                <c:lvl>
                  <c:pt idx="0">
                    <c:v>13</c:v>
                  </c:pt>
                  <c:pt idx="1">
                    <c:v>32</c:v>
                  </c:pt>
                  <c:pt idx="2">
                    <c:v>54</c:v>
                  </c:pt>
                  <c:pt idx="3">
                    <c:v>13</c:v>
                  </c:pt>
                  <c:pt idx="4">
                    <c:v>32</c:v>
                  </c:pt>
                  <c:pt idx="5">
                    <c:v>54</c:v>
                  </c:pt>
                </c:lvl>
                <c:lvl>
                  <c:pt idx="0">
                    <c:v>Summer</c:v>
                  </c:pt>
                  <c:pt idx="3">
                    <c:v>Winter</c:v>
                  </c:pt>
                </c:lvl>
              </c:multiLvlStrCache>
            </c:multiLvlStrRef>
          </c:cat>
          <c:val>
            <c:numRef>
              <c:f>Sheet3!$K$30:$K$35</c:f>
              <c:numCache>
                <c:formatCode>0.00</c:formatCode>
                <c:ptCount val="6"/>
                <c:pt idx="0">
                  <c:v>0.22614804444444439</c:v>
                </c:pt>
                <c:pt idx="1">
                  <c:v>1.5253443555555555</c:v>
                </c:pt>
                <c:pt idx="2">
                  <c:v>12.576782711111113</c:v>
                </c:pt>
                <c:pt idx="3">
                  <c:v>1.9523177777777737E-2</c:v>
                </c:pt>
                <c:pt idx="4">
                  <c:v>0.55023937777777787</c:v>
                </c:pt>
                <c:pt idx="5">
                  <c:v>0.73474768888888864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9-4047-BA1D-3659AA7CC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370328"/>
        <c:axId val="809372624"/>
      </c:barChart>
      <c:catAx>
        <c:axId val="80937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2624"/>
        <c:crosses val="autoZero"/>
        <c:auto val="1"/>
        <c:lblAlgn val="ctr"/>
        <c:lblOffset val="100"/>
        <c:noMultiLvlLbl val="0"/>
      </c:catAx>
      <c:valAx>
        <c:axId val="809372624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Sheet3!$K$29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Sheet3!$L$45:$L$50</c:f>
                <c:numCache>
                  <c:formatCode>General</c:formatCode>
                  <c:ptCount val="6"/>
                  <c:pt idx="0">
                    <c:v>4.5860182823409508E-3</c:v>
                  </c:pt>
                  <c:pt idx="1">
                    <c:v>2.0169876050686226E-2</c:v>
                  </c:pt>
                  <c:pt idx="2">
                    <c:v>6.759939094840034E-2</c:v>
                  </c:pt>
                  <c:pt idx="3">
                    <c:v>3.901609783651258E-4</c:v>
                  </c:pt>
                  <c:pt idx="4">
                    <c:v>1.0058450894646119E-2</c:v>
                  </c:pt>
                  <c:pt idx="5">
                    <c:v>1.2047636691335836E-2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Sheet3!$I$45:$J$50</c:f>
              <c:multiLvlStrCache>
                <c:ptCount val="6"/>
                <c:lvl>
                  <c:pt idx="0">
                    <c:v>13</c:v>
                  </c:pt>
                  <c:pt idx="1">
                    <c:v>32</c:v>
                  </c:pt>
                  <c:pt idx="2">
                    <c:v>54</c:v>
                  </c:pt>
                  <c:pt idx="3">
                    <c:v>13</c:v>
                  </c:pt>
                  <c:pt idx="4">
                    <c:v>32</c:v>
                  </c:pt>
                  <c:pt idx="5">
                    <c:v>54</c:v>
                  </c:pt>
                </c:lvl>
                <c:lvl>
                  <c:pt idx="0">
                    <c:v>Summer</c:v>
                  </c:pt>
                  <c:pt idx="3">
                    <c:v>Winter</c:v>
                  </c:pt>
                </c:lvl>
              </c:multiLvlStrCache>
            </c:multiLvlStrRef>
          </c:cat>
          <c:val>
            <c:numRef>
              <c:f>Sheet3!$K$45:$K$50</c:f>
              <c:numCache>
                <c:formatCode>0.00</c:formatCode>
                <c:ptCount val="6"/>
                <c:pt idx="0">
                  <c:v>3.6661817777777772E-2</c:v>
                </c:pt>
                <c:pt idx="1">
                  <c:v>0.15054209333333332</c:v>
                </c:pt>
                <c:pt idx="2">
                  <c:v>0.57312792000000001</c:v>
                </c:pt>
                <c:pt idx="3">
                  <c:v>1.3665244444444411E-3</c:v>
                </c:pt>
                <c:pt idx="4">
                  <c:v>8.9206017777777771E-2</c:v>
                </c:pt>
                <c:pt idx="5">
                  <c:v>0.12941467999999998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2-4219-AE69-44E617CAE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370328"/>
        <c:axId val="809372624"/>
      </c:barChart>
      <c:catAx>
        <c:axId val="80937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2624"/>
        <c:crosses val="autoZero"/>
        <c:auto val="1"/>
        <c:lblAlgn val="ctr"/>
        <c:lblOffset val="100"/>
        <c:noMultiLvlLbl val="0"/>
      </c:catAx>
      <c:valAx>
        <c:axId val="80937262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Sheet3!$K$29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Sheet3!$L$85:$L$90</c:f>
                <c:numCache>
                  <c:formatCode>General</c:formatCode>
                  <c:ptCount val="6"/>
                  <c:pt idx="0">
                    <c:v>3.5277063710315005E-4</c:v>
                  </c:pt>
                  <c:pt idx="1">
                    <c:v>6.3030862658394456E-4</c:v>
                  </c:pt>
                  <c:pt idx="2">
                    <c:v>1.2518405731185242E-3</c:v>
                  </c:pt>
                  <c:pt idx="3">
                    <c:v>3.001238295116352E-5</c:v>
                  </c:pt>
                  <c:pt idx="4">
                    <c:v>3.1432659045769069E-4</c:v>
                  </c:pt>
                  <c:pt idx="5">
                    <c:v>2.2310438317288604E-4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Sheet3!$I$85:$J$90</c:f>
              <c:multiLvlStrCache>
                <c:ptCount val="6"/>
                <c:lvl>
                  <c:pt idx="0">
                    <c:v>13</c:v>
                  </c:pt>
                  <c:pt idx="1">
                    <c:v>32</c:v>
                  </c:pt>
                  <c:pt idx="2">
                    <c:v>54</c:v>
                  </c:pt>
                  <c:pt idx="3">
                    <c:v>13</c:v>
                  </c:pt>
                  <c:pt idx="4">
                    <c:v>32</c:v>
                  </c:pt>
                  <c:pt idx="5">
                    <c:v>54</c:v>
                  </c:pt>
                </c:lvl>
                <c:lvl>
                  <c:pt idx="0">
                    <c:v>Summer</c:v>
                  </c:pt>
                  <c:pt idx="3">
                    <c:v>Winter</c:v>
                  </c:pt>
                </c:lvl>
              </c:multiLvlStrCache>
            </c:multiLvlStrRef>
          </c:cat>
          <c:val>
            <c:numRef>
              <c:f>Sheet3!$K$85:$K$90</c:f>
              <c:numCache>
                <c:formatCode>0.00</c:formatCode>
                <c:ptCount val="6"/>
                <c:pt idx="0">
                  <c:v>2.8201398290598292E-3</c:v>
                </c:pt>
                <c:pt idx="1">
                  <c:v>4.7044404166666663E-3</c:v>
                </c:pt>
                <c:pt idx="2">
                  <c:v>1.061348E-2</c:v>
                </c:pt>
                <c:pt idx="3">
                  <c:v>1.0511726495726472E-4</c:v>
                </c:pt>
                <c:pt idx="4">
                  <c:v>2.7876880555555554E-3</c:v>
                </c:pt>
                <c:pt idx="5">
                  <c:v>2.3965681481481478E-3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2-44DA-8B73-C3BBCF8F1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370328"/>
        <c:axId val="809372624"/>
      </c:barChart>
      <c:catAx>
        <c:axId val="80937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2624"/>
        <c:crosses val="autoZero"/>
        <c:auto val="1"/>
        <c:lblAlgn val="ctr"/>
        <c:lblOffset val="100"/>
        <c:noMultiLvlLbl val="0"/>
      </c:catAx>
      <c:valAx>
        <c:axId val="80937262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Sheet3!$K$29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Sheet3!$L$102:$L$107</c:f>
                <c:numCache>
                  <c:formatCode>General</c:formatCode>
                  <c:ptCount val="6"/>
                  <c:pt idx="0">
                    <c:v>2.6176043423104456E-3</c:v>
                  </c:pt>
                  <c:pt idx="1">
                    <c:v>9.4551250486513538E-3</c:v>
                  </c:pt>
                  <c:pt idx="2">
                    <c:v>4.2886010939630827E-2</c:v>
                  </c:pt>
                  <c:pt idx="3">
                    <c:v>3.5266342626967361E-4</c:v>
                  </c:pt>
                  <c:pt idx="4">
                    <c:v>1.3842459169561238E-3</c:v>
                  </c:pt>
                  <c:pt idx="5">
                    <c:v>1.1984335722021332E-3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Sheet3!$I$102:$J$107</c:f>
              <c:multiLvlStrCache>
                <c:ptCount val="6"/>
                <c:lvl>
                  <c:pt idx="0">
                    <c:v>13</c:v>
                  </c:pt>
                  <c:pt idx="1">
                    <c:v>32</c:v>
                  </c:pt>
                  <c:pt idx="2">
                    <c:v>54</c:v>
                  </c:pt>
                  <c:pt idx="3">
                    <c:v>13</c:v>
                  </c:pt>
                  <c:pt idx="4">
                    <c:v>32</c:v>
                  </c:pt>
                  <c:pt idx="5">
                    <c:v>54</c:v>
                  </c:pt>
                </c:lvl>
                <c:lvl>
                  <c:pt idx="0">
                    <c:v>Summer</c:v>
                  </c:pt>
                  <c:pt idx="3">
                    <c:v>Winter</c:v>
                  </c:pt>
                </c:lvl>
              </c:multiLvlStrCache>
            </c:multiLvlStrRef>
          </c:cat>
          <c:val>
            <c:numRef>
              <c:f>Sheet3!$K$102:$K$107</c:f>
              <c:numCache>
                <c:formatCode>0.00</c:formatCode>
                <c:ptCount val="6"/>
                <c:pt idx="0">
                  <c:v>1.7396003418803419E-2</c:v>
                </c:pt>
                <c:pt idx="1">
                  <c:v>4.7667011111111109E-2</c:v>
                </c:pt>
                <c:pt idx="2">
                  <c:v>0.23290338353909465</c:v>
                </c:pt>
                <c:pt idx="3">
                  <c:v>1.5017829059829027E-3</c:v>
                </c:pt>
                <c:pt idx="4">
                  <c:v>1.7194980555555558E-2</c:v>
                </c:pt>
                <c:pt idx="5">
                  <c:v>1.3606438683127569E-2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A-42B2-BBB5-7DA7638C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370328"/>
        <c:axId val="809372624"/>
      </c:barChart>
      <c:catAx>
        <c:axId val="80937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2624"/>
        <c:crosses val="autoZero"/>
        <c:auto val="1"/>
        <c:lblAlgn val="ctr"/>
        <c:lblOffset val="100"/>
        <c:noMultiLvlLbl val="0"/>
      </c:catAx>
      <c:valAx>
        <c:axId val="80937262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Sheet3!$K$29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Sheet3!$L$67:$L$72</c:f>
                <c:numCache>
                  <c:formatCode>General</c:formatCode>
                  <c:ptCount val="6"/>
                  <c:pt idx="0">
                    <c:v>3.4909651983262638E-2</c:v>
                  </c:pt>
                  <c:pt idx="1">
                    <c:v>4.7990515760660289E-2</c:v>
                  </c:pt>
                  <c:pt idx="2">
                    <c:v>0.14709509662357756</c:v>
                  </c:pt>
                  <c:pt idx="3">
                    <c:v>7.5756962761252085E-3</c:v>
                  </c:pt>
                  <c:pt idx="4">
                    <c:v>1.2378093586159478E-2</c:v>
                  </c:pt>
                  <c:pt idx="5">
                    <c:v>7.3747937896559449E-3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Sheet3!$I$67:$J$72</c:f>
              <c:multiLvlStrCache>
                <c:ptCount val="6"/>
                <c:lvl>
                  <c:pt idx="0">
                    <c:v>13</c:v>
                  </c:pt>
                  <c:pt idx="1">
                    <c:v>32</c:v>
                  </c:pt>
                  <c:pt idx="2">
                    <c:v>54</c:v>
                  </c:pt>
                  <c:pt idx="3">
                    <c:v>13</c:v>
                  </c:pt>
                  <c:pt idx="4">
                    <c:v>32</c:v>
                  </c:pt>
                  <c:pt idx="5">
                    <c:v>54</c:v>
                  </c:pt>
                </c:lvl>
                <c:lvl>
                  <c:pt idx="0">
                    <c:v>Summer</c:v>
                  </c:pt>
                  <c:pt idx="3">
                    <c:v>Winter</c:v>
                  </c:pt>
                </c:lvl>
              </c:multiLvlStrCache>
            </c:multiLvlStrRef>
          </c:cat>
          <c:val>
            <c:numRef>
              <c:f>Sheet3!$K$67:$K$72</c:f>
              <c:numCache>
                <c:formatCode>0.00</c:formatCode>
                <c:ptCount val="6"/>
                <c:pt idx="0">
                  <c:v>0.34044444444444438</c:v>
                </c:pt>
                <c:pt idx="1">
                  <c:v>0.59886388888888886</c:v>
                </c:pt>
                <c:pt idx="2">
                  <c:v>1.5159078189300412</c:v>
                </c:pt>
                <c:pt idx="3">
                  <c:v>5.728205128205114E-2</c:v>
                </c:pt>
                <c:pt idx="4">
                  <c:v>0.1753513888888889</c:v>
                </c:pt>
                <c:pt idx="5">
                  <c:v>0.14819835390946498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C-48D5-8E46-2D62B4EF8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370328"/>
        <c:axId val="809372624"/>
      </c:barChart>
      <c:catAx>
        <c:axId val="80937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2624"/>
        <c:crosses val="autoZero"/>
        <c:auto val="1"/>
        <c:lblAlgn val="ctr"/>
        <c:lblOffset val="100"/>
        <c:noMultiLvlLbl val="0"/>
      </c:catAx>
      <c:valAx>
        <c:axId val="80937262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937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724435</xdr:colOff>
      <xdr:row>8</xdr:row>
      <xdr:rowOff>135220</xdr:rowOff>
    </xdr:from>
    <xdr:to>
      <xdr:col>19</xdr:col>
      <xdr:colOff>312886</xdr:colOff>
      <xdr:row>23</xdr:row>
      <xdr:rowOff>123622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71091-02E7-473A-964F-D5A6D127D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543491</xdr:colOff>
      <xdr:row>25</xdr:row>
      <xdr:rowOff>171879</xdr:rowOff>
    </xdr:from>
    <xdr:to>
      <xdr:col>19</xdr:col>
      <xdr:colOff>131942</xdr:colOff>
      <xdr:row>40</xdr:row>
      <xdr:rowOff>171711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5F0480-6379-49B3-BCFF-38B69BBE3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552450</xdr:colOff>
      <xdr:row>43</xdr:row>
      <xdr:rowOff>0</xdr:rowOff>
    </xdr:from>
    <xdr:to>
      <xdr:col>19</xdr:col>
      <xdr:colOff>142806</xdr:colOff>
      <xdr:row>58</xdr:row>
      <xdr:rowOff>1737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818575-057F-488F-AA64-F83B403FC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533400</xdr:colOff>
      <xdr:row>81</xdr:row>
      <xdr:rowOff>57150</xdr:rowOff>
    </xdr:from>
    <xdr:to>
      <xdr:col>19</xdr:col>
      <xdr:colOff>123756</xdr:colOff>
      <xdr:row>96</xdr:row>
      <xdr:rowOff>58887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3C261A-350C-4E14-9FBD-6500AA944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514350</xdr:colOff>
      <xdr:row>99</xdr:row>
      <xdr:rowOff>0</xdr:rowOff>
    </xdr:from>
    <xdr:to>
      <xdr:col>19</xdr:col>
      <xdr:colOff>106611</xdr:colOff>
      <xdr:row>114</xdr:row>
      <xdr:rowOff>1737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AB02C6-9A60-4925-BF25-13BBADB09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579120</xdr:colOff>
      <xdr:row>62</xdr:row>
      <xdr:rowOff>17145</xdr:rowOff>
    </xdr:from>
    <xdr:to>
      <xdr:col>19</xdr:col>
      <xdr:colOff>173286</xdr:colOff>
      <xdr:row>77</xdr:row>
      <xdr:rowOff>18882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469429-7013-4C71-A010-0679B88F3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vier Atalah" id="{57302776-1827-4336-8DEE-98E62AFF2FBE}" userId="Javier.Atalah@cawthron.org.nz" providerId="PeoplePicker"/>
  <person displayName="Grant Hopkins" id="{A1E070D1-B1A2-4094-B596-C577B41B6595}" userId="S::Grant.Hopkins@cawthron.org.nz::0c062bca-1b9a-4160-8b11-b0efc155cb3c" providerId="AD"/>
  <person displayName="Javier Atalah" id="{D1FDEE23-D4B7-413E-A68D-604526BDE8CE}" userId="S::javier.atalah@cawthron.org.nz::c5d669e1-22f1-4791-b89d-c445f384bf5f" providerId="AD"/>
  <person displayName="Lauren Fletcher" id="{6E1502BA-9A7B-4469-8FF6-BB71B1325BFF}" userId="S::lauren.Fletcher@cawthron.org.nz::b1185d92-e03b-43a1-ade5-e3ecf57ac70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4-09-12T05:00:31.21" personId="{6E1502BA-9A7B-4469-8FF6-BB71B1325BFF}" id="{77F5F601-7C27-4BAA-99C8-E1E93B386829}">
    <text>@Javier Atalah I think this is the dry weight standardised to g/m2, check my maths though.. The panels are 1875 cm2</text>
    <mentions>
      <mention mentionpersonId="{57302776-1827-4336-8DEE-98E62AFF2FBE}" mentionId="{A9EA7BB7-4BA4-4C63-95B9-9E7E4AF14512}" startIndex="0" length="14"/>
    </mentions>
  </threadedComment>
  <threadedComment ref="J1" dT="2024-09-16T05:21:45.92" personId="{D1FDEE23-D4B7-413E-A68D-604526BDE8CE}" id="{1F15FC49-268D-4ADB-AE86-2DF77597D5AA}" parentId="{77F5F601-7C27-4BAA-99C8-E1E93B386829}">
    <text>Yep, this is correct. 1 m² = 10,000 cm².</text>
  </threadedComment>
  <threadedComment ref="K56" dT="2022-10-12T22:16:52.44" personId="{A1E070D1-B1A2-4094-B596-C577B41B6595}" id="{6D54EFB7-3E57-4D3D-8155-4E012F596848}">
    <text>half the ADL</text>
  </threadedComment>
  <threadedComment ref="K58" dT="2022-10-12T22:17:02.92" personId="{A1E070D1-B1A2-4094-B596-C577B41B6595}" id="{A1172DE9-5BCA-4F21-B62B-21CC039152EE}">
    <text>half the ADL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"/>
  <sheetViews>
    <sheetView tabSelected="1" zoomScaleNormal="100" workbookViewId="0">
      <selection activeCell="J59" sqref="J59"/>
    </sheetView>
  </sheetViews>
  <sheetFormatPr defaultRowHeight="15" x14ac:dyDescent="0.25"/>
  <cols>
    <col min="1" max="1" width="9" style="17" customWidth="1"/>
    <col min="2" max="2" width="7.7109375" style="17" customWidth="1"/>
    <col min="3" max="3" width="7.28515625" style="17" customWidth="1"/>
    <col min="4" max="4" width="8.85546875" style="17"/>
    <col min="5" max="5" width="10.42578125" style="12" customWidth="1"/>
    <col min="6" max="6" width="10" style="12" bestFit="1" customWidth="1"/>
    <col min="7" max="7" width="11.85546875" style="12" customWidth="1"/>
    <col min="8" max="8" width="12.42578125" style="7" bestFit="1" customWidth="1"/>
    <col min="9" max="10" width="12.42578125" style="7" customWidth="1"/>
    <col min="11" max="11" width="14.42578125" style="12" bestFit="1" customWidth="1"/>
    <col min="12" max="12" width="14.42578125" style="12" customWidth="1"/>
    <col min="13" max="14" width="8.85546875" style="15"/>
    <col min="15" max="16" width="10.85546875" style="15" customWidth="1"/>
    <col min="17" max="17" width="15.42578125" style="15" bestFit="1" customWidth="1"/>
    <col min="18" max="18" width="12.28515625" style="15" bestFit="1" customWidth="1"/>
    <col min="19" max="19" width="10.85546875" style="23" customWidth="1"/>
    <col min="20" max="20" width="12.28515625" style="7" bestFit="1" customWidth="1"/>
    <col min="21" max="21" width="12.28515625" style="12" customWidth="1"/>
    <col min="22" max="22" width="38.140625" style="7" bestFit="1" customWidth="1"/>
    <col min="23" max="23" width="35.5703125" style="7" bestFit="1" customWidth="1"/>
    <col min="24" max="24" width="38.140625" style="7" bestFit="1" customWidth="1"/>
  </cols>
  <sheetData>
    <row r="1" spans="1:24" s="2" customFormat="1" ht="60" x14ac:dyDescent="0.25">
      <c r="A1" s="16" t="s">
        <v>0</v>
      </c>
      <c r="B1" s="16" t="s">
        <v>1</v>
      </c>
      <c r="C1" s="16" t="s">
        <v>2</v>
      </c>
      <c r="D1" s="16" t="s">
        <v>3</v>
      </c>
      <c r="E1" s="13" t="s">
        <v>4</v>
      </c>
      <c r="F1" s="13" t="s">
        <v>5</v>
      </c>
      <c r="G1" s="26" t="s">
        <v>6</v>
      </c>
      <c r="H1" s="22" t="s">
        <v>7</v>
      </c>
      <c r="I1" s="22" t="s">
        <v>8</v>
      </c>
      <c r="J1" s="22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30" t="s">
        <v>18</v>
      </c>
      <c r="T1" s="22" t="s">
        <v>19</v>
      </c>
      <c r="U1" s="13" t="s">
        <v>20</v>
      </c>
      <c r="V1" s="22" t="s">
        <v>21</v>
      </c>
      <c r="W1" s="22" t="s">
        <v>22</v>
      </c>
      <c r="X1" s="22" t="s">
        <v>23</v>
      </c>
    </row>
    <row r="2" spans="1:24" x14ac:dyDescent="0.25">
      <c r="A2" s="17">
        <v>1</v>
      </c>
      <c r="B2" s="17">
        <v>1</v>
      </c>
      <c r="C2" s="17">
        <v>1</v>
      </c>
      <c r="D2" s="17">
        <v>1</v>
      </c>
      <c r="E2" s="12" t="s">
        <v>24</v>
      </c>
      <c r="F2" s="27">
        <v>87.5</v>
      </c>
      <c r="G2" s="28">
        <v>6.0084</v>
      </c>
      <c r="H2" s="23">
        <v>0.75299999999999923</v>
      </c>
      <c r="I2" s="23">
        <f>H2/1875</f>
        <v>4.0159999999999957E-4</v>
      </c>
      <c r="J2" s="23">
        <f>I2*10000</f>
        <v>4.0159999999999956</v>
      </c>
      <c r="K2" s="11">
        <v>5</v>
      </c>
      <c r="L2" s="11">
        <v>0.6</v>
      </c>
      <c r="M2" s="11">
        <v>0.72</v>
      </c>
      <c r="N2" s="11">
        <v>0.09</v>
      </c>
      <c r="O2" s="11">
        <v>7.2</v>
      </c>
      <c r="P2" s="11">
        <v>0.9</v>
      </c>
      <c r="Q2" s="25">
        <f>((M2/100)*H2)/1875</f>
        <v>2.8915199999999969E-6</v>
      </c>
      <c r="R2" s="24">
        <f>((K2/100)*H2)/1875</f>
        <v>2.0079999999999981E-5</v>
      </c>
      <c r="S2" s="23">
        <f>Q2*10000</f>
        <v>2.8915199999999971E-2</v>
      </c>
      <c r="T2" s="10">
        <f>R2*10000</f>
        <v>0.20079999999999981</v>
      </c>
      <c r="U2" s="12">
        <v>13</v>
      </c>
      <c r="V2" s="10">
        <f>J2/U2</f>
        <v>0.30892307692307658</v>
      </c>
      <c r="W2" s="29">
        <f>S2/U2</f>
        <v>2.2242461538461516E-3</v>
      </c>
      <c r="X2" s="29">
        <f>T2/U2</f>
        <v>1.5446153846153832E-2</v>
      </c>
    </row>
    <row r="3" spans="1:24" x14ac:dyDescent="0.25">
      <c r="A3" s="17">
        <v>1</v>
      </c>
      <c r="B3" s="17">
        <v>1</v>
      </c>
      <c r="C3" s="17">
        <v>1</v>
      </c>
      <c r="D3" s="17">
        <v>1</v>
      </c>
      <c r="E3" s="12" t="s">
        <v>25</v>
      </c>
      <c r="F3" s="27">
        <v>79.099999999999994</v>
      </c>
      <c r="G3" s="28">
        <v>4.5179</v>
      </c>
      <c r="H3" s="7">
        <v>0.94290000000000074</v>
      </c>
      <c r="I3" s="23">
        <f t="shared" ref="I3:I66" si="0">H3/1875</f>
        <v>5.0288000000000036E-4</v>
      </c>
      <c r="J3" s="23">
        <f t="shared" ref="J3:J66" si="1">I3*10000</f>
        <v>5.0288000000000039</v>
      </c>
      <c r="K3" s="11">
        <v>3.9</v>
      </c>
      <c r="L3" s="11">
        <v>0.8</v>
      </c>
      <c r="M3" s="11">
        <v>0.63</v>
      </c>
      <c r="N3" s="11">
        <v>0.13</v>
      </c>
      <c r="O3" s="11">
        <v>6.3</v>
      </c>
      <c r="P3" s="11">
        <v>1.3</v>
      </c>
      <c r="Q3" s="25">
        <f>((M3/100)*H3)/1875</f>
        <v>3.1681440000000023E-6</v>
      </c>
      <c r="R3" s="24">
        <f>((K3/100)*H3)/1875</f>
        <v>1.9612320000000017E-5</v>
      </c>
      <c r="S3" s="23">
        <f t="shared" ref="S3:S33" si="2">Q3*10000</f>
        <v>3.1681440000000026E-2</v>
      </c>
      <c r="T3" s="10">
        <f t="shared" ref="T3:T33" si="3">R3*10000</f>
        <v>0.19612320000000016</v>
      </c>
      <c r="U3" s="12">
        <v>13</v>
      </c>
      <c r="V3" s="10">
        <f>J3/U3</f>
        <v>0.38683076923076953</v>
      </c>
      <c r="W3" s="29">
        <f>S3/U3</f>
        <v>2.4370338461538483E-3</v>
      </c>
      <c r="X3" s="29">
        <f>T3/U3</f>
        <v>1.5086400000000012E-2</v>
      </c>
    </row>
    <row r="4" spans="1:24" x14ac:dyDescent="0.25">
      <c r="A4" s="17">
        <v>1</v>
      </c>
      <c r="B4" s="17">
        <v>1</v>
      </c>
      <c r="C4" s="17">
        <v>1</v>
      </c>
      <c r="D4" s="17">
        <v>1</v>
      </c>
      <c r="E4" s="12" t="s">
        <v>26</v>
      </c>
      <c r="F4" s="27">
        <v>81.8</v>
      </c>
      <c r="G4" s="28">
        <v>6.0632000000000001</v>
      </c>
      <c r="H4" s="7">
        <v>1.1060999999999996</v>
      </c>
      <c r="I4" s="23">
        <f t="shared" si="0"/>
        <v>5.8991999999999985E-4</v>
      </c>
      <c r="J4" s="23">
        <f t="shared" si="1"/>
        <v>5.8991999999999987</v>
      </c>
      <c r="K4" s="11">
        <v>7.1</v>
      </c>
      <c r="L4" s="11">
        <v>1.3</v>
      </c>
      <c r="M4" s="11">
        <v>0.88</v>
      </c>
      <c r="N4" s="11">
        <v>0.16</v>
      </c>
      <c r="O4" s="11">
        <v>8.8000000000000007</v>
      </c>
      <c r="P4" s="11">
        <v>1.6</v>
      </c>
      <c r="Q4" s="25">
        <f>((M4/100)*H4)/1875</f>
        <v>5.1912959999999988E-6</v>
      </c>
      <c r="R4" s="24">
        <f>((K4/100)*H4)/1875</f>
        <v>4.1884319999999983E-5</v>
      </c>
      <c r="S4" s="23">
        <f t="shared" si="2"/>
        <v>5.1912959999999987E-2</v>
      </c>
      <c r="T4" s="10">
        <f t="shared" si="3"/>
        <v>0.4188431999999998</v>
      </c>
      <c r="U4" s="12">
        <v>13</v>
      </c>
      <c r="V4" s="10">
        <f>J4/U4</f>
        <v>0.45378461538461529</v>
      </c>
      <c r="W4" s="29">
        <f>S4/U4</f>
        <v>3.9933046153846144E-3</v>
      </c>
      <c r="X4" s="29">
        <f>T4/U4</f>
        <v>3.2218707692307676E-2</v>
      </c>
    </row>
    <row r="5" spans="1:24" x14ac:dyDescent="0.25">
      <c r="A5" s="17">
        <v>1</v>
      </c>
      <c r="B5" s="17">
        <v>1</v>
      </c>
      <c r="C5" s="17">
        <v>1</v>
      </c>
      <c r="D5" s="17">
        <v>2</v>
      </c>
      <c r="E5" s="12" t="s">
        <v>24</v>
      </c>
      <c r="F5" s="27">
        <v>92.4</v>
      </c>
      <c r="G5" s="28">
        <v>13.992900000000001</v>
      </c>
      <c r="H5" s="7">
        <v>1.0683</v>
      </c>
      <c r="I5" s="23">
        <f t="shared" si="0"/>
        <v>5.6975999999999999E-4</v>
      </c>
      <c r="J5" s="23">
        <f t="shared" si="1"/>
        <v>5.6975999999999996</v>
      </c>
      <c r="K5" s="11">
        <v>4.7</v>
      </c>
      <c r="L5" s="11">
        <v>0.4</v>
      </c>
      <c r="M5" s="11">
        <v>0.83</v>
      </c>
      <c r="N5" s="11">
        <v>0.06</v>
      </c>
      <c r="O5" s="11">
        <v>8.3000000000000007</v>
      </c>
      <c r="P5" s="11">
        <v>0.63</v>
      </c>
      <c r="Q5" s="25">
        <f>((M5/100)*H5)/1875</f>
        <v>4.7290080000000002E-6</v>
      </c>
      <c r="R5" s="24">
        <f>((K5/100)*H5)/1875</f>
        <v>2.677872E-5</v>
      </c>
      <c r="S5" s="23">
        <f t="shared" si="2"/>
        <v>4.7290080000000005E-2</v>
      </c>
      <c r="T5" s="10">
        <f t="shared" si="3"/>
        <v>0.2677872</v>
      </c>
      <c r="U5" s="12">
        <v>13</v>
      </c>
      <c r="V5" s="10">
        <f>J5/U5</f>
        <v>0.43827692307692306</v>
      </c>
      <c r="W5" s="29">
        <f>S5/U5</f>
        <v>3.6376984615384619E-3</v>
      </c>
      <c r="X5" s="29">
        <f>T5/U5</f>
        <v>2.0599015384615386E-2</v>
      </c>
    </row>
    <row r="6" spans="1:24" x14ac:dyDescent="0.25">
      <c r="A6" s="17">
        <v>1</v>
      </c>
      <c r="B6" s="17">
        <v>1</v>
      </c>
      <c r="C6" s="17">
        <v>1</v>
      </c>
      <c r="D6" s="17">
        <v>2</v>
      </c>
      <c r="E6" s="12" t="s">
        <v>25</v>
      </c>
      <c r="F6" s="27">
        <v>91.5</v>
      </c>
      <c r="G6" s="28">
        <v>11.2767</v>
      </c>
      <c r="H6" s="7">
        <v>0.96349999999999891</v>
      </c>
      <c r="I6" s="23">
        <f t="shared" si="0"/>
        <v>5.1386666666666607E-4</v>
      </c>
      <c r="J6" s="23">
        <f t="shared" si="1"/>
        <v>5.1386666666666612</v>
      </c>
      <c r="K6" s="11">
        <v>6.5</v>
      </c>
      <c r="L6" s="11">
        <v>0.6</v>
      </c>
      <c r="M6" s="11">
        <v>0.85</v>
      </c>
      <c r="N6" s="11">
        <v>7.0000000000000007E-2</v>
      </c>
      <c r="O6" s="11">
        <v>8.5</v>
      </c>
      <c r="P6" s="11">
        <v>0.72</v>
      </c>
      <c r="Q6" s="25">
        <f>((M6/100)*H6)/1875</f>
        <v>4.3678666666666625E-6</v>
      </c>
      <c r="R6" s="24">
        <f>((K6/100)*H6)/1875</f>
        <v>3.3401333333333301E-5</v>
      </c>
      <c r="S6" s="23">
        <f t="shared" si="2"/>
        <v>4.3678666666666623E-2</v>
      </c>
      <c r="T6" s="10">
        <f t="shared" si="3"/>
        <v>0.334013333333333</v>
      </c>
      <c r="U6" s="12">
        <v>13</v>
      </c>
      <c r="V6" s="10">
        <f>J6/U6</f>
        <v>0.39528205128205085</v>
      </c>
      <c r="W6" s="29">
        <f>S6/U6</f>
        <v>3.3598974358974324E-3</v>
      </c>
      <c r="X6" s="29">
        <f>T6/U6</f>
        <v>2.5693333333333308E-2</v>
      </c>
    </row>
    <row r="7" spans="1:24" x14ac:dyDescent="0.25">
      <c r="A7" s="17">
        <v>1</v>
      </c>
      <c r="B7" s="17">
        <v>1</v>
      </c>
      <c r="C7" s="17">
        <v>1</v>
      </c>
      <c r="D7" s="17">
        <v>2</v>
      </c>
      <c r="E7" s="12" t="s">
        <v>26</v>
      </c>
      <c r="F7" s="27">
        <v>95.2</v>
      </c>
      <c r="G7" s="28">
        <v>15.210100000000001</v>
      </c>
      <c r="H7" s="7">
        <v>0.7286999999999999</v>
      </c>
      <c r="I7" s="23">
        <f t="shared" si="0"/>
        <v>3.8863999999999994E-4</v>
      </c>
      <c r="J7" s="23">
        <f t="shared" si="1"/>
        <v>3.8863999999999992</v>
      </c>
      <c r="K7" s="11">
        <v>5.2</v>
      </c>
      <c r="L7" s="11">
        <v>0.2</v>
      </c>
      <c r="M7" s="11">
        <v>0.82</v>
      </c>
      <c r="N7" s="11">
        <v>0.04</v>
      </c>
      <c r="O7" s="11">
        <v>8.1999999999999993</v>
      </c>
      <c r="P7" s="11">
        <v>0.39</v>
      </c>
      <c r="Q7" s="25">
        <f>((M7/100)*H7)/1875</f>
        <v>3.1868479999999989E-6</v>
      </c>
      <c r="R7" s="24">
        <f>((K7/100)*H7)/1875</f>
        <v>2.0209279999999998E-5</v>
      </c>
      <c r="S7" s="23">
        <f t="shared" si="2"/>
        <v>3.1868479999999991E-2</v>
      </c>
      <c r="T7" s="10">
        <f t="shared" si="3"/>
        <v>0.20209279999999999</v>
      </c>
      <c r="U7" s="12">
        <v>13</v>
      </c>
      <c r="V7" s="10">
        <f>J7/U7</f>
        <v>0.29895384615384607</v>
      </c>
      <c r="W7" s="29">
        <f>S7/U7</f>
        <v>2.4514215384615376E-3</v>
      </c>
      <c r="X7" s="29">
        <f>T7/U7</f>
        <v>1.55456E-2</v>
      </c>
    </row>
    <row r="8" spans="1:24" x14ac:dyDescent="0.25">
      <c r="A8" s="17">
        <v>1</v>
      </c>
      <c r="B8" s="17">
        <v>1</v>
      </c>
      <c r="C8" s="17">
        <v>2</v>
      </c>
      <c r="D8" s="17">
        <v>1</v>
      </c>
      <c r="E8" s="12" t="s">
        <v>24</v>
      </c>
      <c r="F8" s="27">
        <v>91</v>
      </c>
      <c r="G8" s="28">
        <v>27.688500000000001</v>
      </c>
      <c r="H8" s="7">
        <v>2.4750000000000005</v>
      </c>
      <c r="I8" s="23">
        <f t="shared" si="0"/>
        <v>1.3200000000000002E-3</v>
      </c>
      <c r="J8" s="23">
        <f t="shared" si="1"/>
        <v>13.200000000000003</v>
      </c>
      <c r="K8" s="11">
        <v>12.1</v>
      </c>
      <c r="L8" s="11">
        <v>1.1000000000000001</v>
      </c>
      <c r="M8" s="11">
        <v>0.92</v>
      </c>
      <c r="N8" s="11">
        <v>0.08</v>
      </c>
      <c r="O8" s="11">
        <v>9.1999999999999993</v>
      </c>
      <c r="P8" s="11">
        <v>0.83</v>
      </c>
      <c r="Q8" s="25">
        <f>((M8/100)*H8)/1875</f>
        <v>1.2144000000000003E-5</v>
      </c>
      <c r="R8" s="24">
        <f>((K8/100)*H8)/1875</f>
        <v>1.5972000000000002E-4</v>
      </c>
      <c r="S8" s="23">
        <f t="shared" si="2"/>
        <v>0.12144000000000002</v>
      </c>
      <c r="T8" s="10">
        <f t="shared" si="3"/>
        <v>1.5972000000000002</v>
      </c>
      <c r="U8" s="12">
        <v>32</v>
      </c>
      <c r="V8" s="10">
        <f>J8/U8</f>
        <v>0.41250000000000009</v>
      </c>
      <c r="W8" s="29">
        <f>S8/U8</f>
        <v>3.7950000000000006E-3</v>
      </c>
      <c r="X8" s="29">
        <f>T8/U8</f>
        <v>4.9912500000000005E-2</v>
      </c>
    </row>
    <row r="9" spans="1:24" x14ac:dyDescent="0.25">
      <c r="A9" s="17">
        <v>1</v>
      </c>
      <c r="B9" s="17">
        <v>1</v>
      </c>
      <c r="C9" s="17">
        <v>2</v>
      </c>
      <c r="D9" s="17">
        <v>1</v>
      </c>
      <c r="E9" s="12" t="s">
        <v>25</v>
      </c>
      <c r="F9" s="27">
        <v>86.5</v>
      </c>
      <c r="G9" s="28">
        <v>19.721399999999999</v>
      </c>
      <c r="H9" s="7">
        <v>2.7069000000000001</v>
      </c>
      <c r="I9" s="23">
        <f t="shared" si="0"/>
        <v>1.4436800000000001E-3</v>
      </c>
      <c r="J9" s="23">
        <f t="shared" si="1"/>
        <v>14.436800000000002</v>
      </c>
      <c r="K9" s="11">
        <v>6.6</v>
      </c>
      <c r="L9" s="11">
        <v>0.9</v>
      </c>
      <c r="M9" s="11">
        <v>0.88</v>
      </c>
      <c r="N9" s="11">
        <v>0.12</v>
      </c>
      <c r="O9" s="11">
        <v>8.8000000000000007</v>
      </c>
      <c r="P9" s="11">
        <v>1.19</v>
      </c>
      <c r="Q9" s="25">
        <f>((M9/100)*H9)/1875</f>
        <v>1.2704384000000001E-5</v>
      </c>
      <c r="R9" s="24">
        <f>((K9/100)*H9)/1875</f>
        <v>9.5282880000000008E-5</v>
      </c>
      <c r="S9" s="23">
        <f t="shared" si="2"/>
        <v>0.12704384000000002</v>
      </c>
      <c r="T9" s="10">
        <f t="shared" si="3"/>
        <v>0.95282880000000003</v>
      </c>
      <c r="U9" s="12">
        <v>32</v>
      </c>
      <c r="V9" s="10">
        <f>J9/U9</f>
        <v>0.45115000000000005</v>
      </c>
      <c r="W9" s="29">
        <f>S9/U9</f>
        <v>3.9701200000000006E-3</v>
      </c>
      <c r="X9" s="29">
        <f>T9/U9</f>
        <v>2.9775900000000001E-2</v>
      </c>
    </row>
    <row r="10" spans="1:24" x14ac:dyDescent="0.25">
      <c r="A10" s="17">
        <v>1</v>
      </c>
      <c r="B10" s="17">
        <v>1</v>
      </c>
      <c r="C10" s="17">
        <v>2</v>
      </c>
      <c r="D10" s="17">
        <v>1</v>
      </c>
      <c r="E10" s="12" t="s">
        <v>26</v>
      </c>
      <c r="F10" s="27">
        <v>81.099999999999994</v>
      </c>
      <c r="G10" s="28">
        <v>17.149799999999999</v>
      </c>
      <c r="H10" s="7">
        <v>3.1814000000000009</v>
      </c>
      <c r="I10" s="23">
        <f t="shared" si="0"/>
        <v>1.6967466666666672E-3</v>
      </c>
      <c r="J10" s="23">
        <f t="shared" si="1"/>
        <v>16.967466666666674</v>
      </c>
      <c r="K10" s="11">
        <v>7.2</v>
      </c>
      <c r="L10" s="11">
        <v>1.4</v>
      </c>
      <c r="M10" s="11">
        <v>0.83</v>
      </c>
      <c r="N10" s="11">
        <v>0.16</v>
      </c>
      <c r="O10" s="11">
        <v>8.3000000000000007</v>
      </c>
      <c r="P10" s="11">
        <v>1.57</v>
      </c>
      <c r="Q10" s="25">
        <f>((M10/100)*H10)/1875</f>
        <v>1.4082997333333337E-5</v>
      </c>
      <c r="R10" s="24">
        <f>((K10/100)*H10)/1875</f>
        <v>1.2216576000000006E-4</v>
      </c>
      <c r="S10" s="23">
        <f t="shared" si="2"/>
        <v>0.14082997333333336</v>
      </c>
      <c r="T10" s="10">
        <f t="shared" si="3"/>
        <v>1.2216576000000006</v>
      </c>
      <c r="U10" s="12">
        <v>32</v>
      </c>
      <c r="V10" s="10">
        <f>J10/U10</f>
        <v>0.53023333333333356</v>
      </c>
      <c r="W10" s="29">
        <f>S10/U10</f>
        <v>4.4009366666666674E-3</v>
      </c>
      <c r="X10" s="29">
        <f>T10/U10</f>
        <v>3.8176800000000018E-2</v>
      </c>
    </row>
    <row r="11" spans="1:24" x14ac:dyDescent="0.25">
      <c r="A11" s="17">
        <v>1</v>
      </c>
      <c r="B11" s="17">
        <v>1</v>
      </c>
      <c r="C11" s="17">
        <v>2</v>
      </c>
      <c r="D11" s="17">
        <v>2</v>
      </c>
      <c r="E11" s="12" t="s">
        <v>24</v>
      </c>
      <c r="F11" s="27">
        <v>89.3</v>
      </c>
      <c r="G11" s="28">
        <v>40.8474</v>
      </c>
      <c r="H11" s="7">
        <v>4.3689</v>
      </c>
      <c r="I11" s="23">
        <f t="shared" si="0"/>
        <v>2.33008E-3</v>
      </c>
      <c r="J11" s="23">
        <f t="shared" si="1"/>
        <v>23.300799999999999</v>
      </c>
      <c r="K11" s="11">
        <v>11.9</v>
      </c>
      <c r="L11" s="11">
        <v>1.3</v>
      </c>
      <c r="M11" s="11">
        <v>1.1100000000000001</v>
      </c>
      <c r="N11" s="11">
        <v>0.12</v>
      </c>
      <c r="O11" s="11">
        <v>11.1</v>
      </c>
      <c r="P11" s="11">
        <v>1.2</v>
      </c>
      <c r="Q11" s="25">
        <f>((M11/100)*H11)/1875</f>
        <v>2.5863888000000002E-5</v>
      </c>
      <c r="R11" s="24">
        <f>((K11/100)*H11)/1875</f>
        <v>2.7727952000000005E-4</v>
      </c>
      <c r="S11" s="23">
        <f t="shared" si="2"/>
        <v>0.25863888000000002</v>
      </c>
      <c r="T11" s="10">
        <f t="shared" si="3"/>
        <v>2.7727952000000005</v>
      </c>
      <c r="U11" s="12">
        <v>32</v>
      </c>
      <c r="V11" s="10">
        <f>J11/U11</f>
        <v>0.72814999999999996</v>
      </c>
      <c r="W11" s="29">
        <f>S11/U11</f>
        <v>8.0824650000000005E-3</v>
      </c>
      <c r="X11" s="29">
        <f>T11/U11</f>
        <v>8.6649850000000014E-2</v>
      </c>
    </row>
    <row r="12" spans="1:24" x14ac:dyDescent="0.25">
      <c r="A12" s="17">
        <v>1</v>
      </c>
      <c r="B12" s="17">
        <v>1</v>
      </c>
      <c r="C12" s="17">
        <v>2</v>
      </c>
      <c r="D12" s="17">
        <v>2</v>
      </c>
      <c r="E12" s="12" t="s">
        <v>25</v>
      </c>
      <c r="F12" s="27">
        <v>86.3</v>
      </c>
      <c r="G12" s="28">
        <v>24.9392</v>
      </c>
      <c r="H12" s="7">
        <v>3.4358999999999993</v>
      </c>
      <c r="I12" s="23">
        <f t="shared" si="0"/>
        <v>1.8324799999999996E-3</v>
      </c>
      <c r="J12" s="23">
        <f t="shared" si="1"/>
        <v>18.324799999999996</v>
      </c>
      <c r="K12" s="11">
        <v>5.0999999999999996</v>
      </c>
      <c r="L12" s="11">
        <v>0.7</v>
      </c>
      <c r="M12" s="11">
        <v>1.19</v>
      </c>
      <c r="N12" s="11">
        <v>0.16</v>
      </c>
      <c r="O12" s="11">
        <v>11.9</v>
      </c>
      <c r="P12" s="11">
        <v>1.63</v>
      </c>
      <c r="Q12" s="25">
        <f>((M12/100)*H12)/1875</f>
        <v>2.1806511999999991E-5</v>
      </c>
      <c r="R12" s="24">
        <f>((K12/100)*H12)/1875</f>
        <v>9.3456479999999974E-5</v>
      </c>
      <c r="S12" s="23">
        <f t="shared" si="2"/>
        <v>0.21806511999999992</v>
      </c>
      <c r="T12" s="10">
        <f t="shared" si="3"/>
        <v>0.93456479999999975</v>
      </c>
      <c r="U12" s="12">
        <v>32</v>
      </c>
      <c r="V12" s="10">
        <f>J12/U12</f>
        <v>0.57264999999999988</v>
      </c>
      <c r="W12" s="29">
        <f>S12/U12</f>
        <v>6.8145349999999974E-3</v>
      </c>
      <c r="X12" s="29">
        <f>T12/U12</f>
        <v>2.9205149999999992E-2</v>
      </c>
    </row>
    <row r="13" spans="1:24" x14ac:dyDescent="0.25">
      <c r="A13" s="17">
        <v>1</v>
      </c>
      <c r="B13" s="17">
        <v>1</v>
      </c>
      <c r="C13" s="17">
        <v>2</v>
      </c>
      <c r="D13" s="17">
        <v>2</v>
      </c>
      <c r="E13" s="12" t="s">
        <v>26</v>
      </c>
      <c r="F13" s="27">
        <v>80.5</v>
      </c>
      <c r="G13" s="28">
        <v>22.023800000000001</v>
      </c>
      <c r="H13" s="7">
        <v>4.3205</v>
      </c>
      <c r="I13" s="23">
        <f t="shared" si="0"/>
        <v>2.3042666666666669E-3</v>
      </c>
      <c r="J13" s="23">
        <f t="shared" si="1"/>
        <v>23.042666666666669</v>
      </c>
      <c r="K13" s="11">
        <v>13.4</v>
      </c>
      <c r="L13" s="11">
        <v>2.6</v>
      </c>
      <c r="M13" s="11">
        <v>0.89</v>
      </c>
      <c r="N13" s="11">
        <v>0.17</v>
      </c>
      <c r="O13" s="11">
        <v>8.9</v>
      </c>
      <c r="P13" s="11">
        <v>1.73</v>
      </c>
      <c r="Q13" s="25">
        <f>((M13/100)*H13)/1875</f>
        <v>2.0507973333333333E-5</v>
      </c>
      <c r="R13" s="24">
        <f>((K13/100)*H13)/1875</f>
        <v>3.0877173333333335E-4</v>
      </c>
      <c r="S13" s="23">
        <f t="shared" si="2"/>
        <v>0.20507973333333335</v>
      </c>
      <c r="T13" s="10">
        <f t="shared" si="3"/>
        <v>3.0877173333333334</v>
      </c>
      <c r="U13" s="12">
        <v>32</v>
      </c>
      <c r="V13" s="10">
        <f>J13/U13</f>
        <v>0.72008333333333341</v>
      </c>
      <c r="W13" s="29">
        <f>S13/U13</f>
        <v>6.4087416666666671E-3</v>
      </c>
      <c r="X13" s="29">
        <f>T13/U13</f>
        <v>9.649116666666667E-2</v>
      </c>
    </row>
    <row r="14" spans="1:24" x14ac:dyDescent="0.25">
      <c r="A14" s="17">
        <v>1</v>
      </c>
      <c r="B14" s="17">
        <v>1</v>
      </c>
      <c r="C14" s="17">
        <v>3</v>
      </c>
      <c r="D14" s="17">
        <v>1</v>
      </c>
      <c r="E14" s="12" t="s">
        <v>24</v>
      </c>
      <c r="F14" s="27">
        <v>89.1</v>
      </c>
      <c r="G14" s="28">
        <v>76.115399999999994</v>
      </c>
      <c r="H14" s="7">
        <v>8.5595999999999979</v>
      </c>
      <c r="I14" s="23">
        <f t="shared" si="0"/>
        <v>4.5651199999999989E-3</v>
      </c>
      <c r="J14" s="23">
        <f t="shared" si="1"/>
        <v>45.651199999999989</v>
      </c>
      <c r="K14" s="11">
        <v>9.9</v>
      </c>
      <c r="L14" s="11">
        <v>1.1000000000000001</v>
      </c>
      <c r="M14" s="11">
        <v>0.6</v>
      </c>
      <c r="N14" s="11">
        <v>7.0000000000000007E-2</v>
      </c>
      <c r="O14" s="11">
        <v>6</v>
      </c>
      <c r="P14" s="11">
        <v>0.66</v>
      </c>
      <c r="Q14" s="25">
        <f>((M14/100)*H14)/1875</f>
        <v>2.7390719999999993E-5</v>
      </c>
      <c r="R14" s="24">
        <f>((K14/100)*H14)/1875</f>
        <v>4.519468799999999E-4</v>
      </c>
      <c r="S14" s="23">
        <f t="shared" si="2"/>
        <v>0.27390719999999991</v>
      </c>
      <c r="T14" s="10">
        <f t="shared" si="3"/>
        <v>4.5194687999999994</v>
      </c>
      <c r="U14" s="12">
        <v>54</v>
      </c>
      <c r="V14" s="10">
        <f>J14/U14</f>
        <v>0.84539259259259236</v>
      </c>
      <c r="W14" s="29">
        <f>S14/U14</f>
        <v>5.0723555555555536E-3</v>
      </c>
      <c r="X14" s="29">
        <f>T14/U14</f>
        <v>8.3693866666666658E-2</v>
      </c>
    </row>
    <row r="15" spans="1:24" x14ac:dyDescent="0.25">
      <c r="A15" s="17">
        <v>1</v>
      </c>
      <c r="B15" s="17">
        <v>1</v>
      </c>
      <c r="C15" s="17">
        <v>3</v>
      </c>
      <c r="D15" s="17">
        <v>1</v>
      </c>
      <c r="E15" s="12" t="s">
        <v>25</v>
      </c>
      <c r="F15" s="27">
        <v>87.8</v>
      </c>
      <c r="G15" s="28">
        <v>121.9032</v>
      </c>
      <c r="H15" s="7">
        <v>15.005099999999999</v>
      </c>
      <c r="I15" s="23">
        <f t="shared" si="0"/>
        <v>8.0027199999999996E-3</v>
      </c>
      <c r="J15" s="23">
        <f t="shared" si="1"/>
        <v>80.027199999999993</v>
      </c>
      <c r="K15" s="11">
        <v>14.6</v>
      </c>
      <c r="L15" s="11">
        <v>1.8</v>
      </c>
      <c r="M15" s="11">
        <v>0.61</v>
      </c>
      <c r="N15" s="11">
        <v>7.0000000000000007E-2</v>
      </c>
      <c r="O15" s="11">
        <v>6.1</v>
      </c>
      <c r="P15" s="11">
        <v>0.75</v>
      </c>
      <c r="Q15" s="25">
        <f>((M15/100)*H15)/1875</f>
        <v>4.8816591999999994E-5</v>
      </c>
      <c r="R15" s="24">
        <f>((K15/100)*H15)/1875</f>
        <v>1.1683971199999998E-3</v>
      </c>
      <c r="S15" s="23">
        <f t="shared" si="2"/>
        <v>0.48816591999999992</v>
      </c>
      <c r="T15" s="10">
        <f t="shared" si="3"/>
        <v>11.683971199999998</v>
      </c>
      <c r="U15" s="12">
        <v>54</v>
      </c>
      <c r="V15" s="10">
        <f>J15/U15</f>
        <v>1.4819851851851851</v>
      </c>
      <c r="W15" s="29">
        <f>S15/U15</f>
        <v>9.040109629629629E-3</v>
      </c>
      <c r="X15" s="29">
        <f>T15/U15</f>
        <v>0.21636983703703702</v>
      </c>
    </row>
    <row r="16" spans="1:24" x14ac:dyDescent="0.25">
      <c r="A16" s="17">
        <v>1</v>
      </c>
      <c r="B16" s="17">
        <v>1</v>
      </c>
      <c r="C16" s="17">
        <v>3</v>
      </c>
      <c r="D16" s="17">
        <v>1</v>
      </c>
      <c r="E16" s="12" t="s">
        <v>26</v>
      </c>
      <c r="F16" s="27">
        <v>89.1</v>
      </c>
      <c r="G16" s="28">
        <v>147.89080000000001</v>
      </c>
      <c r="H16" s="7">
        <v>16.160899999999998</v>
      </c>
      <c r="I16" s="23">
        <f t="shared" si="0"/>
        <v>8.6191466666666657E-3</v>
      </c>
      <c r="J16" s="23">
        <f t="shared" si="1"/>
        <v>86.191466666666656</v>
      </c>
      <c r="K16" s="11">
        <v>11.6</v>
      </c>
      <c r="L16" s="11">
        <v>1.3</v>
      </c>
      <c r="M16" s="11">
        <v>0.66</v>
      </c>
      <c r="N16" s="11">
        <v>7.0000000000000007E-2</v>
      </c>
      <c r="O16" s="11">
        <v>6.6</v>
      </c>
      <c r="P16" s="11">
        <v>0.72</v>
      </c>
      <c r="Q16" s="25">
        <f>((M16/100)*H16)/1875</f>
        <v>5.688636799999999E-5</v>
      </c>
      <c r="R16" s="24">
        <f>((K16/100)*H16)/1875</f>
        <v>9.9982101333333327E-4</v>
      </c>
      <c r="S16" s="23">
        <f t="shared" si="2"/>
        <v>0.56886367999999987</v>
      </c>
      <c r="T16" s="10">
        <f t="shared" si="3"/>
        <v>9.9982101333333322</v>
      </c>
      <c r="U16" s="12">
        <v>54</v>
      </c>
      <c r="V16" s="10">
        <f>J16/U16</f>
        <v>1.5961382716049382</v>
      </c>
      <c r="W16" s="29">
        <f>S16/U16</f>
        <v>1.0534512592592591E-2</v>
      </c>
      <c r="X16" s="29">
        <f>T16/U16</f>
        <v>0.18515203950617282</v>
      </c>
    </row>
    <row r="17" spans="1:24" x14ac:dyDescent="0.25">
      <c r="A17" s="17">
        <v>1</v>
      </c>
      <c r="B17" s="17">
        <v>1</v>
      </c>
      <c r="C17" s="17">
        <v>3</v>
      </c>
      <c r="D17" s="17">
        <v>2</v>
      </c>
      <c r="E17" s="12" t="s">
        <v>24</v>
      </c>
      <c r="F17" s="27">
        <v>92.2</v>
      </c>
      <c r="G17" s="28">
        <v>219.3441</v>
      </c>
      <c r="H17" s="7">
        <v>16.789599999999997</v>
      </c>
      <c r="I17" s="23">
        <f t="shared" si="0"/>
        <v>8.9544533333333308E-3</v>
      </c>
      <c r="J17" s="23">
        <f t="shared" si="1"/>
        <v>89.544533333333305</v>
      </c>
      <c r="K17" s="11">
        <v>16.600000000000001</v>
      </c>
      <c r="L17" s="11">
        <v>1.3</v>
      </c>
      <c r="M17" s="11">
        <v>0.69</v>
      </c>
      <c r="N17" s="11">
        <v>0.05</v>
      </c>
      <c r="O17" s="11">
        <v>6.9</v>
      </c>
      <c r="P17" s="11">
        <v>0.54</v>
      </c>
      <c r="Q17" s="25">
        <f>((M17/100)*H17)/1875</f>
        <v>6.1785727999999983E-5</v>
      </c>
      <c r="R17" s="24">
        <f>((K17/100)*H17)/1875</f>
        <v>1.486439253333333E-3</v>
      </c>
      <c r="S17" s="23">
        <f t="shared" si="2"/>
        <v>0.61785727999999984</v>
      </c>
      <c r="T17" s="10">
        <f t="shared" si="3"/>
        <v>14.86439253333333</v>
      </c>
      <c r="U17" s="12">
        <v>54</v>
      </c>
      <c r="V17" s="10">
        <f>J17/U17</f>
        <v>1.6582320987654315</v>
      </c>
      <c r="W17" s="29">
        <f>S17/U17</f>
        <v>1.1441801481481479E-2</v>
      </c>
      <c r="X17" s="29">
        <f>T17/U17</f>
        <v>0.27526652839506166</v>
      </c>
    </row>
    <row r="18" spans="1:24" x14ac:dyDescent="0.25">
      <c r="A18" s="17">
        <v>1</v>
      </c>
      <c r="B18" s="17">
        <v>1</v>
      </c>
      <c r="C18" s="17">
        <v>3</v>
      </c>
      <c r="D18" s="17">
        <v>2</v>
      </c>
      <c r="E18" s="12" t="s">
        <v>25</v>
      </c>
      <c r="F18" s="27">
        <v>89.2</v>
      </c>
      <c r="G18" s="28">
        <v>191.6764</v>
      </c>
      <c r="H18" s="7">
        <v>20.626599999999996</v>
      </c>
      <c r="I18" s="23">
        <f t="shared" si="0"/>
        <v>1.1000853333333331E-2</v>
      </c>
      <c r="J18" s="23">
        <f t="shared" si="1"/>
        <v>110.0085333333333</v>
      </c>
      <c r="K18" s="11">
        <v>20.2</v>
      </c>
      <c r="L18" s="11">
        <v>2.2000000000000002</v>
      </c>
      <c r="M18" s="11">
        <v>0.54</v>
      </c>
      <c r="N18" s="11">
        <v>0.06</v>
      </c>
      <c r="O18" s="11">
        <v>5.4</v>
      </c>
      <c r="P18" s="11">
        <v>0.57999999999999996</v>
      </c>
      <c r="Q18" s="25">
        <f>((M18/100)*H18)/1875</f>
        <v>5.9404607999999999E-5</v>
      </c>
      <c r="R18" s="24">
        <f>((K18/100)*H18)/1875</f>
        <v>2.2221723733333331E-3</v>
      </c>
      <c r="S18" s="23">
        <f t="shared" si="2"/>
        <v>0.59404608000000003</v>
      </c>
      <c r="T18" s="10">
        <f t="shared" si="3"/>
        <v>22.221723733333331</v>
      </c>
      <c r="U18" s="12">
        <v>54</v>
      </c>
      <c r="V18" s="10">
        <f>J18/U18</f>
        <v>2.0371950617283945</v>
      </c>
      <c r="W18" s="29">
        <f>S18/U18</f>
        <v>1.1000853333333335E-2</v>
      </c>
      <c r="X18" s="29">
        <f>T18/U18</f>
        <v>0.41151340246913576</v>
      </c>
    </row>
    <row r="19" spans="1:24" x14ac:dyDescent="0.25">
      <c r="A19" s="17">
        <v>1</v>
      </c>
      <c r="B19" s="17">
        <v>1</v>
      </c>
      <c r="C19" s="17">
        <v>3</v>
      </c>
      <c r="D19" s="17">
        <v>2</v>
      </c>
      <c r="E19" s="12" t="s">
        <v>26</v>
      </c>
      <c r="F19" s="27">
        <v>93.7</v>
      </c>
      <c r="G19" s="28">
        <v>256.61279999999999</v>
      </c>
      <c r="H19" s="7">
        <v>16.133400000000002</v>
      </c>
      <c r="I19" s="23">
        <f t="shared" si="0"/>
        <v>8.6044800000000012E-3</v>
      </c>
      <c r="J19" s="23">
        <f t="shared" si="1"/>
        <v>86.044800000000009</v>
      </c>
      <c r="K19" s="11">
        <v>13.3</v>
      </c>
      <c r="L19" s="11">
        <v>0.8</v>
      </c>
      <c r="M19" s="11">
        <v>0.77</v>
      </c>
      <c r="N19" s="11">
        <v>0.05</v>
      </c>
      <c r="O19" s="11">
        <v>7.7</v>
      </c>
      <c r="P19" s="11">
        <v>0.48</v>
      </c>
      <c r="Q19" s="25">
        <f>((M19/100)*H19)/1875</f>
        <v>6.6254496000000017E-5</v>
      </c>
      <c r="R19" s="24">
        <f>((K19/100)*H19)/1875</f>
        <v>1.1443958400000002E-3</v>
      </c>
      <c r="S19" s="23">
        <f t="shared" si="2"/>
        <v>0.66254496000000018</v>
      </c>
      <c r="T19" s="10">
        <f t="shared" si="3"/>
        <v>11.443958400000001</v>
      </c>
      <c r="U19" s="12">
        <v>54</v>
      </c>
      <c r="V19" s="10">
        <f>J19/U19</f>
        <v>1.5934222222222223</v>
      </c>
      <c r="W19" s="29">
        <f>S19/U19</f>
        <v>1.2269351111111115E-2</v>
      </c>
      <c r="X19" s="29">
        <f>T19/U19</f>
        <v>0.21192515555555558</v>
      </c>
    </row>
    <row r="20" spans="1:24" x14ac:dyDescent="0.25">
      <c r="A20" s="17">
        <v>1</v>
      </c>
      <c r="B20" s="17">
        <v>2</v>
      </c>
      <c r="C20" s="17">
        <v>1</v>
      </c>
      <c r="D20" s="17">
        <v>1</v>
      </c>
      <c r="E20" s="12" t="s">
        <v>24</v>
      </c>
      <c r="F20" s="27">
        <v>95.1</v>
      </c>
      <c r="G20" s="28">
        <v>10.368499999999999</v>
      </c>
      <c r="H20" s="7">
        <v>0.50769999999999982</v>
      </c>
      <c r="I20" s="23">
        <f t="shared" si="0"/>
        <v>2.7077333333333324E-4</v>
      </c>
      <c r="J20" s="23">
        <f t="shared" si="1"/>
        <v>2.7077333333333322</v>
      </c>
      <c r="K20" s="11">
        <v>5.5</v>
      </c>
      <c r="L20" s="11">
        <v>0.3</v>
      </c>
      <c r="M20" s="11">
        <v>0.8</v>
      </c>
      <c r="N20" s="11">
        <v>0.04</v>
      </c>
      <c r="O20" s="11">
        <v>8</v>
      </c>
      <c r="P20" s="11">
        <v>0.39</v>
      </c>
      <c r="Q20" s="25">
        <f>((M20/100)*H20)/1875</f>
        <v>2.166186666666666E-6</v>
      </c>
      <c r="R20" s="24">
        <f>((K20/100)*H20)/1875</f>
        <v>1.4892533333333328E-5</v>
      </c>
      <c r="S20" s="23">
        <f t="shared" si="2"/>
        <v>2.1661866666666661E-2</v>
      </c>
      <c r="T20" s="10">
        <f t="shared" si="3"/>
        <v>0.1489253333333333</v>
      </c>
      <c r="U20" s="12">
        <v>13</v>
      </c>
      <c r="V20" s="10">
        <f>J20/U20</f>
        <v>0.2082871794871794</v>
      </c>
      <c r="W20" s="29">
        <f>S20/U20</f>
        <v>1.6662974358974355E-3</v>
      </c>
      <c r="X20" s="29">
        <f>T20/U20</f>
        <v>1.1455794871794869E-2</v>
      </c>
    </row>
    <row r="21" spans="1:24" x14ac:dyDescent="0.25">
      <c r="A21" s="17">
        <v>1</v>
      </c>
      <c r="B21" s="17">
        <v>2</v>
      </c>
      <c r="C21" s="17">
        <v>1</v>
      </c>
      <c r="D21" s="17">
        <v>1</v>
      </c>
      <c r="E21" s="12" t="s">
        <v>25</v>
      </c>
      <c r="F21" s="27">
        <v>94.8</v>
      </c>
      <c r="G21" s="28">
        <v>8.8590999999999998</v>
      </c>
      <c r="H21" s="7">
        <v>0.46150000000000002</v>
      </c>
      <c r="I21" s="23">
        <f t="shared" si="0"/>
        <v>2.4613333333333337E-4</v>
      </c>
      <c r="J21" s="23">
        <f t="shared" si="1"/>
        <v>2.4613333333333336</v>
      </c>
      <c r="K21" s="11">
        <v>4.4000000000000004</v>
      </c>
      <c r="L21" s="11">
        <v>0.2</v>
      </c>
      <c r="M21" s="11">
        <v>0.81</v>
      </c>
      <c r="N21" s="11">
        <v>0.04</v>
      </c>
      <c r="O21" s="11">
        <v>8.1</v>
      </c>
      <c r="P21" s="11">
        <v>0.42</v>
      </c>
      <c r="Q21" s="25">
        <f>((M21/100)*H21)/1875</f>
        <v>1.9936800000000004E-6</v>
      </c>
      <c r="R21" s="24">
        <f>((K21/100)*H21)/1875</f>
        <v>1.0829866666666669E-5</v>
      </c>
      <c r="S21" s="23">
        <f t="shared" si="2"/>
        <v>1.9936800000000005E-2</v>
      </c>
      <c r="T21" s="10">
        <f t="shared" si="3"/>
        <v>0.1082986666666667</v>
      </c>
      <c r="U21" s="12">
        <v>13</v>
      </c>
      <c r="V21" s="10">
        <f>J21/U21</f>
        <v>0.18933333333333335</v>
      </c>
      <c r="W21" s="29">
        <f>S21/U21</f>
        <v>1.5336000000000004E-3</v>
      </c>
      <c r="X21" s="29">
        <f>T21/U21</f>
        <v>8.3306666666666685E-3</v>
      </c>
    </row>
    <row r="22" spans="1:24" x14ac:dyDescent="0.25">
      <c r="A22" s="17">
        <v>1</v>
      </c>
      <c r="B22" s="17">
        <v>2</v>
      </c>
      <c r="C22" s="17">
        <v>1</v>
      </c>
      <c r="D22" s="17">
        <v>1</v>
      </c>
      <c r="E22" s="12" t="s">
        <v>26</v>
      </c>
      <c r="F22" s="27">
        <v>94.8</v>
      </c>
      <c r="G22" s="28">
        <v>13.8409</v>
      </c>
      <c r="H22" s="7">
        <v>0.71999999999999975</v>
      </c>
      <c r="I22" s="23">
        <f t="shared" si="0"/>
        <v>3.8399999999999985E-4</v>
      </c>
      <c r="J22" s="23">
        <f t="shared" si="1"/>
        <v>3.8399999999999985</v>
      </c>
      <c r="K22" s="11">
        <v>4.4000000000000004</v>
      </c>
      <c r="L22" s="11">
        <v>0.2</v>
      </c>
      <c r="M22" s="11">
        <v>0.69</v>
      </c>
      <c r="N22" s="11">
        <v>0.04</v>
      </c>
      <c r="O22" s="11">
        <v>6.9</v>
      </c>
      <c r="P22" s="11">
        <v>0.36</v>
      </c>
      <c r="Q22" s="25">
        <f>((M22/100)*H22)/1875</f>
        <v>2.6495999999999992E-6</v>
      </c>
      <c r="R22" s="24">
        <f>((K22/100)*H22)/1875</f>
        <v>1.6895999999999995E-5</v>
      </c>
      <c r="S22" s="23">
        <f t="shared" si="2"/>
        <v>2.6495999999999992E-2</v>
      </c>
      <c r="T22" s="10">
        <f t="shared" si="3"/>
        <v>0.16895999999999994</v>
      </c>
      <c r="U22" s="12">
        <v>13</v>
      </c>
      <c r="V22" s="10">
        <f>J22/U22</f>
        <v>0.29538461538461525</v>
      </c>
      <c r="W22" s="29">
        <f>S22/U22</f>
        <v>2.0381538461538454E-3</v>
      </c>
      <c r="X22" s="29">
        <f>T22/U22</f>
        <v>1.2996923076923073E-2</v>
      </c>
    </row>
    <row r="23" spans="1:24" x14ac:dyDescent="0.25">
      <c r="A23" s="17">
        <v>1</v>
      </c>
      <c r="B23" s="17">
        <v>2</v>
      </c>
      <c r="C23" s="17">
        <v>1</v>
      </c>
      <c r="D23" s="17">
        <v>2</v>
      </c>
      <c r="E23" s="12" t="s">
        <v>24</v>
      </c>
      <c r="F23" s="27">
        <v>94.9</v>
      </c>
      <c r="G23" s="28">
        <v>14.815899999999999</v>
      </c>
      <c r="H23" s="7">
        <v>0.76060000000000016</v>
      </c>
      <c r="I23" s="23">
        <f t="shared" si="0"/>
        <v>4.0565333333333344E-4</v>
      </c>
      <c r="J23" s="23">
        <f t="shared" si="1"/>
        <v>4.0565333333333342</v>
      </c>
      <c r="K23" s="11">
        <v>5.2</v>
      </c>
      <c r="L23" s="11">
        <v>0.3</v>
      </c>
      <c r="M23" s="11">
        <v>1.01</v>
      </c>
      <c r="N23" s="11">
        <v>0.05</v>
      </c>
      <c r="O23" s="11">
        <v>10.1</v>
      </c>
      <c r="P23" s="11">
        <v>0.52</v>
      </c>
      <c r="Q23" s="25">
        <f>((M23/100)*H23)/1875</f>
        <v>4.0970986666666676E-6</v>
      </c>
      <c r="R23" s="24">
        <f>((K23/100)*H23)/1875</f>
        <v>2.1093973333333338E-5</v>
      </c>
      <c r="S23" s="23">
        <f t="shared" si="2"/>
        <v>4.0970986666666674E-2</v>
      </c>
      <c r="T23" s="10">
        <f t="shared" si="3"/>
        <v>0.21093973333333338</v>
      </c>
      <c r="U23" s="12">
        <v>13</v>
      </c>
      <c r="V23" s="10">
        <f>J23/U23</f>
        <v>0.3120410256410257</v>
      </c>
      <c r="W23" s="29">
        <f>S23/U23</f>
        <v>3.1516143589743594E-3</v>
      </c>
      <c r="X23" s="29">
        <f>T23/U23</f>
        <v>1.6226133333333337E-2</v>
      </c>
    </row>
    <row r="24" spans="1:24" x14ac:dyDescent="0.25">
      <c r="A24" s="17">
        <v>1</v>
      </c>
      <c r="B24" s="17">
        <v>2</v>
      </c>
      <c r="C24" s="17">
        <v>1</v>
      </c>
      <c r="D24" s="17">
        <v>2</v>
      </c>
      <c r="E24" s="12" t="s">
        <v>25</v>
      </c>
      <c r="F24" s="27">
        <v>93.6</v>
      </c>
      <c r="G24" s="28">
        <v>15.604900000000001</v>
      </c>
      <c r="H24" s="7">
        <v>0.9916999999999998</v>
      </c>
      <c r="I24" s="23">
        <f t="shared" si="0"/>
        <v>5.2890666666666653E-4</v>
      </c>
      <c r="J24" s="23">
        <f t="shared" si="1"/>
        <v>5.289066666666665</v>
      </c>
      <c r="K24" s="11">
        <v>4.5999999999999996</v>
      </c>
      <c r="L24" s="11">
        <v>0.3</v>
      </c>
      <c r="M24" s="11">
        <v>0.95</v>
      </c>
      <c r="N24" s="11">
        <v>0.06</v>
      </c>
      <c r="O24" s="11">
        <v>9.5</v>
      </c>
      <c r="P24" s="11">
        <v>0.6</v>
      </c>
      <c r="Q24" s="25">
        <f>((M24/100)*H24)/1875</f>
        <v>5.0246133333333321E-6</v>
      </c>
      <c r="R24" s="24">
        <f>((K24/100)*H24)/1875</f>
        <v>2.4329706666666661E-5</v>
      </c>
      <c r="S24" s="23">
        <f t="shared" si="2"/>
        <v>5.0246133333333325E-2</v>
      </c>
      <c r="T24" s="10">
        <f t="shared" si="3"/>
        <v>0.24329706666666662</v>
      </c>
      <c r="U24" s="12">
        <v>13</v>
      </c>
      <c r="V24" s="10">
        <f>J24/U24</f>
        <v>0.4068512820512819</v>
      </c>
      <c r="W24" s="29">
        <f>S24/U24</f>
        <v>3.8650871794871787E-3</v>
      </c>
      <c r="X24" s="29">
        <f>T24/U24</f>
        <v>1.8715158974358971E-2</v>
      </c>
    </row>
    <row r="25" spans="1:24" x14ac:dyDescent="0.25">
      <c r="A25" s="17">
        <v>1</v>
      </c>
      <c r="B25" s="17">
        <v>2</v>
      </c>
      <c r="C25" s="17">
        <v>1</v>
      </c>
      <c r="D25" s="17">
        <v>2</v>
      </c>
      <c r="E25" s="12" t="s">
        <v>26</v>
      </c>
      <c r="F25" s="27">
        <v>92.4</v>
      </c>
      <c r="G25" s="28">
        <v>12.5983</v>
      </c>
      <c r="H25" s="7">
        <v>0.95400000000000063</v>
      </c>
      <c r="I25" s="23">
        <f t="shared" si="0"/>
        <v>5.0880000000000033E-4</v>
      </c>
      <c r="J25" s="23">
        <f t="shared" si="1"/>
        <v>5.0880000000000036</v>
      </c>
      <c r="K25" s="11">
        <v>4.2</v>
      </c>
      <c r="L25" s="11">
        <v>0.3</v>
      </c>
      <c r="M25" s="11">
        <v>0.89</v>
      </c>
      <c r="N25" s="11">
        <v>7.0000000000000007E-2</v>
      </c>
      <c r="O25" s="11">
        <v>8.9</v>
      </c>
      <c r="P25" s="11">
        <v>0.68</v>
      </c>
      <c r="Q25" s="25">
        <f>((M25/100)*H25)/1875</f>
        <v>4.5283200000000034E-6</v>
      </c>
      <c r="R25" s="24">
        <f>((K25/100)*H25)/1875</f>
        <v>2.1369600000000013E-5</v>
      </c>
      <c r="S25" s="23">
        <f t="shared" si="2"/>
        <v>4.5283200000000037E-2</v>
      </c>
      <c r="T25" s="10">
        <f t="shared" si="3"/>
        <v>0.21369600000000014</v>
      </c>
      <c r="U25" s="12">
        <v>13</v>
      </c>
      <c r="V25" s="10">
        <f>J25/U25</f>
        <v>0.39138461538461566</v>
      </c>
      <c r="W25" s="29">
        <f>S25/U25</f>
        <v>3.4833230769230799E-3</v>
      </c>
      <c r="X25" s="29">
        <f>T25/U25</f>
        <v>1.6438153846153856E-2</v>
      </c>
    </row>
    <row r="26" spans="1:24" x14ac:dyDescent="0.25">
      <c r="A26" s="17">
        <v>1</v>
      </c>
      <c r="B26" s="17">
        <v>2</v>
      </c>
      <c r="C26" s="17">
        <v>2</v>
      </c>
      <c r="D26" s="17">
        <v>1</v>
      </c>
      <c r="E26" s="12" t="s">
        <v>24</v>
      </c>
      <c r="F26" s="27">
        <v>87.6</v>
      </c>
      <c r="G26" s="28">
        <v>28.6845</v>
      </c>
      <c r="H26" s="7">
        <v>3.5681999999999992</v>
      </c>
      <c r="I26" s="23">
        <f t="shared" si="0"/>
        <v>1.9030399999999995E-3</v>
      </c>
      <c r="J26" s="23">
        <f t="shared" si="1"/>
        <v>19.030399999999997</v>
      </c>
      <c r="K26" s="11">
        <v>7.3</v>
      </c>
      <c r="L26" s="11">
        <v>0.9</v>
      </c>
      <c r="M26" s="11">
        <v>0.6</v>
      </c>
      <c r="N26" s="11">
        <v>0.08</v>
      </c>
      <c r="O26" s="11">
        <v>6</v>
      </c>
      <c r="P26" s="11">
        <v>0.75</v>
      </c>
      <c r="Q26" s="25">
        <f>((M26/100)*H26)/1875</f>
        <v>1.1418239999999998E-5</v>
      </c>
      <c r="R26" s="24">
        <f>((K26/100)*H26)/1875</f>
        <v>1.3892191999999998E-4</v>
      </c>
      <c r="S26" s="23">
        <f t="shared" si="2"/>
        <v>0.11418239999999998</v>
      </c>
      <c r="T26" s="10">
        <f t="shared" si="3"/>
        <v>1.3892191999999999</v>
      </c>
      <c r="U26" s="12">
        <v>32</v>
      </c>
      <c r="V26" s="10">
        <f>J26/U26</f>
        <v>0.5946999999999999</v>
      </c>
      <c r="W26" s="29">
        <f>S26/U26</f>
        <v>3.5681999999999992E-3</v>
      </c>
      <c r="X26" s="29">
        <f>T26/U26</f>
        <v>4.3413099999999996E-2</v>
      </c>
    </row>
    <row r="27" spans="1:24" x14ac:dyDescent="0.25">
      <c r="A27" s="17">
        <v>1</v>
      </c>
      <c r="B27" s="17">
        <v>2</v>
      </c>
      <c r="C27" s="17">
        <v>2</v>
      </c>
      <c r="D27" s="17">
        <v>1</v>
      </c>
      <c r="E27" s="12" t="s">
        <v>25</v>
      </c>
      <c r="F27" s="27">
        <v>90.9</v>
      </c>
      <c r="G27" s="28">
        <v>32.490499999999997</v>
      </c>
      <c r="H27" s="7">
        <v>2.9421999999999997</v>
      </c>
      <c r="I27" s="23">
        <f t="shared" si="0"/>
        <v>1.5691733333333333E-3</v>
      </c>
      <c r="J27" s="23">
        <f t="shared" si="1"/>
        <v>15.691733333333332</v>
      </c>
      <c r="K27" s="11">
        <v>4.8</v>
      </c>
      <c r="L27" s="11">
        <v>0.4</v>
      </c>
      <c r="M27" s="11">
        <v>0.71</v>
      </c>
      <c r="N27" s="11">
        <v>0.06</v>
      </c>
      <c r="O27" s="11">
        <v>7.1</v>
      </c>
      <c r="P27" s="11">
        <v>0.64</v>
      </c>
      <c r="Q27" s="25">
        <f>((M27/100)*H27)/1875</f>
        <v>1.1141130666666666E-5</v>
      </c>
      <c r="R27" s="24">
        <f>((K27/100)*H27)/1875</f>
        <v>7.5320319999999986E-5</v>
      </c>
      <c r="S27" s="23">
        <f t="shared" si="2"/>
        <v>0.11141130666666665</v>
      </c>
      <c r="T27" s="10">
        <f t="shared" si="3"/>
        <v>0.75320319999999985</v>
      </c>
      <c r="U27" s="12">
        <v>32</v>
      </c>
      <c r="V27" s="10">
        <f>J27/U27</f>
        <v>0.49036666666666662</v>
      </c>
      <c r="W27" s="29">
        <f>S27/U27</f>
        <v>3.4816033333333329E-3</v>
      </c>
      <c r="X27" s="29">
        <f>T27/U27</f>
        <v>2.3537599999999995E-2</v>
      </c>
    </row>
    <row r="28" spans="1:24" ht="17.45" customHeight="1" x14ac:dyDescent="0.25">
      <c r="A28" s="17">
        <v>1</v>
      </c>
      <c r="B28" s="17">
        <v>2</v>
      </c>
      <c r="C28" s="17">
        <v>2</v>
      </c>
      <c r="D28" s="17">
        <v>1</v>
      </c>
      <c r="E28" s="12" t="s">
        <v>26</v>
      </c>
      <c r="F28" s="27">
        <v>82.1</v>
      </c>
      <c r="G28" s="28">
        <v>18.209299999999999</v>
      </c>
      <c r="H28" s="7">
        <v>3.2543000000000006</v>
      </c>
      <c r="I28" s="23">
        <f t="shared" si="0"/>
        <v>1.7356266666666671E-3</v>
      </c>
      <c r="J28" s="23">
        <f t="shared" si="1"/>
        <v>17.35626666666667</v>
      </c>
      <c r="K28" s="11">
        <v>5.7</v>
      </c>
      <c r="L28" s="11">
        <v>1</v>
      </c>
      <c r="M28" s="11">
        <v>0.65</v>
      </c>
      <c r="N28" s="11">
        <v>0.12</v>
      </c>
      <c r="O28" s="11">
        <v>6.5</v>
      </c>
      <c r="P28" s="11">
        <v>1.1599999999999999</v>
      </c>
      <c r="Q28" s="25">
        <f>((M28/100)*H28)/1875</f>
        <v>1.1281573333333337E-5</v>
      </c>
      <c r="R28" s="24">
        <f>((K28/100)*H28)/1875</f>
        <v>9.8930720000000026E-5</v>
      </c>
      <c r="S28" s="23">
        <f t="shared" si="2"/>
        <v>0.11281573333333336</v>
      </c>
      <c r="T28" s="10">
        <f t="shared" si="3"/>
        <v>0.98930720000000028</v>
      </c>
      <c r="U28" s="12">
        <v>32</v>
      </c>
      <c r="V28" s="10">
        <f>J28/U28</f>
        <v>0.54238333333333344</v>
      </c>
      <c r="W28" s="29">
        <f>S28/U28</f>
        <v>3.5254916666666676E-3</v>
      </c>
      <c r="X28" s="29">
        <f>T28/U28</f>
        <v>3.0915850000000009E-2</v>
      </c>
    </row>
    <row r="29" spans="1:24" x14ac:dyDescent="0.25">
      <c r="A29" s="17">
        <v>1</v>
      </c>
      <c r="B29" s="17">
        <v>2</v>
      </c>
      <c r="C29" s="17">
        <v>2</v>
      </c>
      <c r="D29" s="17">
        <v>2</v>
      </c>
      <c r="E29" s="12" t="s">
        <v>24</v>
      </c>
      <c r="F29" s="27">
        <v>89.2</v>
      </c>
      <c r="G29" s="28">
        <v>38.4955</v>
      </c>
      <c r="H29" s="7">
        <v>4.1743999999999986</v>
      </c>
      <c r="I29" s="23">
        <f t="shared" si="0"/>
        <v>2.226346666666666E-3</v>
      </c>
      <c r="J29" s="23">
        <f t="shared" si="1"/>
        <v>22.263466666666659</v>
      </c>
      <c r="K29" s="11">
        <v>7.2</v>
      </c>
      <c r="L29" s="11">
        <v>0.8</v>
      </c>
      <c r="M29" s="11">
        <v>0.59</v>
      </c>
      <c r="N29" s="11">
        <v>0.06</v>
      </c>
      <c r="O29" s="11">
        <v>5.9</v>
      </c>
      <c r="P29" s="11">
        <v>0.64</v>
      </c>
      <c r="Q29" s="25">
        <f>((M29/100)*H29)/1875</f>
        <v>1.3135445333333329E-5</v>
      </c>
      <c r="R29" s="24">
        <f>((K29/100)*H29)/1875</f>
        <v>1.6029695999999997E-4</v>
      </c>
      <c r="S29" s="23">
        <f t="shared" si="2"/>
        <v>0.13135445333333329</v>
      </c>
      <c r="T29" s="10">
        <f t="shared" si="3"/>
        <v>1.6029695999999998</v>
      </c>
      <c r="U29" s="12">
        <v>32</v>
      </c>
      <c r="V29" s="10">
        <f>J29/U29</f>
        <v>0.69573333333333309</v>
      </c>
      <c r="W29" s="29">
        <f>S29/U29</f>
        <v>4.1048266666666652E-3</v>
      </c>
      <c r="X29" s="29">
        <f>T29/U29</f>
        <v>5.0092799999999993E-2</v>
      </c>
    </row>
    <row r="30" spans="1:24" x14ac:dyDescent="0.25">
      <c r="A30" s="17">
        <v>1</v>
      </c>
      <c r="B30" s="17">
        <v>2</v>
      </c>
      <c r="C30" s="17">
        <v>2</v>
      </c>
      <c r="D30" s="17">
        <v>2</v>
      </c>
      <c r="E30" s="12" t="s">
        <v>25</v>
      </c>
      <c r="F30" s="27">
        <v>88.5</v>
      </c>
      <c r="G30" s="28">
        <v>39.610399999999998</v>
      </c>
      <c r="H30" s="7">
        <v>4.5722000000000005</v>
      </c>
      <c r="I30" s="23">
        <f t="shared" si="0"/>
        <v>2.4385066666666668E-3</v>
      </c>
      <c r="J30" s="23">
        <f t="shared" si="1"/>
        <v>24.385066666666667</v>
      </c>
      <c r="K30" s="11">
        <v>7.9</v>
      </c>
      <c r="L30" s="11">
        <v>0.9</v>
      </c>
      <c r="M30" s="11">
        <v>0.63</v>
      </c>
      <c r="N30" s="11">
        <v>7.0000000000000007E-2</v>
      </c>
      <c r="O30" s="11">
        <v>6.3</v>
      </c>
      <c r="P30" s="11">
        <v>0.73</v>
      </c>
      <c r="Q30" s="25">
        <f>((M30/100)*H30)/1875</f>
        <v>1.5362592000000002E-5</v>
      </c>
      <c r="R30" s="24">
        <f>((K30/100)*H30)/1875</f>
        <v>1.9264202666666668E-4</v>
      </c>
      <c r="S30" s="23">
        <f t="shared" si="2"/>
        <v>0.15362592000000003</v>
      </c>
      <c r="T30" s="10">
        <f t="shared" si="3"/>
        <v>1.9264202666666668</v>
      </c>
      <c r="U30" s="12">
        <v>32</v>
      </c>
      <c r="V30" s="10">
        <f>J30/U30</f>
        <v>0.76203333333333334</v>
      </c>
      <c r="W30" s="29">
        <f>S30/U30</f>
        <v>4.8008100000000008E-3</v>
      </c>
      <c r="X30" s="29">
        <f>T30/U30</f>
        <v>6.0200633333333337E-2</v>
      </c>
    </row>
    <row r="31" spans="1:24" x14ac:dyDescent="0.25">
      <c r="A31" s="17">
        <v>1</v>
      </c>
      <c r="B31" s="17">
        <v>2</v>
      </c>
      <c r="C31" s="17">
        <v>2</v>
      </c>
      <c r="D31" s="17">
        <v>2</v>
      </c>
      <c r="E31" s="12" t="s">
        <v>26</v>
      </c>
      <c r="F31" s="27">
        <v>82.9</v>
      </c>
      <c r="G31" s="28">
        <v>24.042400000000001</v>
      </c>
      <c r="H31" s="7">
        <v>4.1183000000000014</v>
      </c>
      <c r="I31" s="23">
        <f t="shared" si="0"/>
        <v>2.1964266666666672E-3</v>
      </c>
      <c r="J31" s="23">
        <f t="shared" si="1"/>
        <v>21.964266666666671</v>
      </c>
      <c r="K31" s="11">
        <v>4.9000000000000004</v>
      </c>
      <c r="L31" s="11">
        <v>0.8</v>
      </c>
      <c r="M31" s="11">
        <v>0.51</v>
      </c>
      <c r="N31" s="11">
        <v>0.09</v>
      </c>
      <c r="O31" s="11">
        <v>5.0999999999999996</v>
      </c>
      <c r="P31" s="11">
        <v>0.87</v>
      </c>
      <c r="Q31" s="25">
        <f>((M31/100)*H31)/1875</f>
        <v>1.1201776000000004E-5</v>
      </c>
      <c r="R31" s="24">
        <f>((K31/100)*H31)/1875</f>
        <v>1.0762490666666671E-4</v>
      </c>
      <c r="S31" s="23">
        <f t="shared" si="2"/>
        <v>0.11201776000000005</v>
      </c>
      <c r="T31" s="10">
        <f t="shared" si="3"/>
        <v>1.0762490666666671</v>
      </c>
      <c r="U31" s="12">
        <v>32</v>
      </c>
      <c r="V31" s="10">
        <f>J31/U31</f>
        <v>0.68638333333333346</v>
      </c>
      <c r="W31" s="29">
        <f>S31/U31</f>
        <v>3.5005550000000015E-3</v>
      </c>
      <c r="X31" s="29">
        <f>T31/U31</f>
        <v>3.3632783333333346E-2</v>
      </c>
    </row>
    <row r="32" spans="1:24" x14ac:dyDescent="0.25">
      <c r="A32" s="17">
        <v>1</v>
      </c>
      <c r="B32" s="17">
        <v>2</v>
      </c>
      <c r="C32" s="17">
        <v>3</v>
      </c>
      <c r="D32" s="17">
        <v>1</v>
      </c>
      <c r="E32" s="12" t="s">
        <v>24</v>
      </c>
      <c r="F32" s="27">
        <v>91</v>
      </c>
      <c r="G32" s="28">
        <v>139.63419999999999</v>
      </c>
      <c r="H32" s="7">
        <v>12.2966</v>
      </c>
      <c r="I32" s="23">
        <f t="shared" si="0"/>
        <v>6.5581866666666669E-3</v>
      </c>
      <c r="J32" s="23">
        <f t="shared" si="1"/>
        <v>65.58186666666667</v>
      </c>
      <c r="K32" s="11">
        <v>20.6</v>
      </c>
      <c r="L32" s="11">
        <v>1.9</v>
      </c>
      <c r="M32" s="11">
        <v>0.74</v>
      </c>
      <c r="N32" s="11">
        <v>7.0000000000000007E-2</v>
      </c>
      <c r="O32" s="11">
        <v>7.4</v>
      </c>
      <c r="P32" s="11">
        <v>0.67</v>
      </c>
      <c r="Q32" s="25">
        <f>((M32/100)*H32)/1875</f>
        <v>4.8530581333333337E-5</v>
      </c>
      <c r="R32" s="24">
        <f>((K32/100)*H32)/1875</f>
        <v>1.3509864533333335E-3</v>
      </c>
      <c r="S32" s="23">
        <f t="shared" si="2"/>
        <v>0.48530581333333339</v>
      </c>
      <c r="T32" s="10">
        <f t="shared" si="3"/>
        <v>13.509864533333335</v>
      </c>
      <c r="U32" s="12">
        <v>54</v>
      </c>
      <c r="V32" s="10">
        <f>J32/U32</f>
        <v>1.214479012345679</v>
      </c>
      <c r="W32" s="29">
        <f>S32/U32</f>
        <v>8.9871446913580254E-3</v>
      </c>
      <c r="X32" s="29">
        <f>T32/U32</f>
        <v>0.25018267654320991</v>
      </c>
    </row>
    <row r="33" spans="1:24" x14ac:dyDescent="0.25">
      <c r="A33" s="17">
        <v>1</v>
      </c>
      <c r="B33" s="17">
        <v>2</v>
      </c>
      <c r="C33" s="17">
        <v>3</v>
      </c>
      <c r="D33" s="17">
        <v>1</v>
      </c>
      <c r="E33" s="12" t="s">
        <v>25</v>
      </c>
      <c r="F33" s="27">
        <v>92.5</v>
      </c>
      <c r="G33" s="28">
        <v>137.0848</v>
      </c>
      <c r="H33" s="7">
        <v>10.609999999999998</v>
      </c>
      <c r="I33" s="23">
        <f t="shared" si="0"/>
        <v>5.6586666666666651E-3</v>
      </c>
      <c r="J33" s="23">
        <f t="shared" si="1"/>
        <v>56.586666666666652</v>
      </c>
      <c r="K33" s="11">
        <v>7.2</v>
      </c>
      <c r="L33" s="11">
        <v>0.5</v>
      </c>
      <c r="M33" s="11">
        <v>0.85</v>
      </c>
      <c r="N33" s="11">
        <v>0.06</v>
      </c>
      <c r="O33" s="11">
        <v>8.5</v>
      </c>
      <c r="P33" s="11">
        <v>0.64</v>
      </c>
      <c r="Q33" s="25">
        <f>((M33/100)*H33)/1875</f>
        <v>4.8098666666666661E-5</v>
      </c>
      <c r="R33" s="24">
        <f>((K33/100)*H33)/1875</f>
        <v>4.0742399999999998E-4</v>
      </c>
      <c r="S33" s="23">
        <f t="shared" si="2"/>
        <v>0.48098666666666662</v>
      </c>
      <c r="T33" s="10">
        <f t="shared" si="3"/>
        <v>4.0742399999999996</v>
      </c>
      <c r="U33" s="12">
        <v>54</v>
      </c>
      <c r="V33" s="10">
        <f>J33/U33</f>
        <v>1.0479012345679009</v>
      </c>
      <c r="W33" s="29">
        <f>S33/U33</f>
        <v>8.9071604938271588E-3</v>
      </c>
      <c r="X33" s="29">
        <f>T33/U33</f>
        <v>7.5448888888888885E-2</v>
      </c>
    </row>
    <row r="34" spans="1:24" x14ac:dyDescent="0.25">
      <c r="A34" s="17">
        <v>1</v>
      </c>
      <c r="B34" s="17">
        <v>2</v>
      </c>
      <c r="C34" s="17">
        <v>3</v>
      </c>
      <c r="D34" s="17">
        <v>1</v>
      </c>
      <c r="E34" s="12" t="s">
        <v>26</v>
      </c>
      <c r="F34" s="27">
        <v>89.4</v>
      </c>
      <c r="G34" s="28">
        <v>149.30959999999999</v>
      </c>
      <c r="H34" s="7">
        <v>15.772499999999997</v>
      </c>
      <c r="I34" s="23">
        <f t="shared" si="0"/>
        <v>8.4119999999999993E-3</v>
      </c>
      <c r="J34" s="23">
        <f t="shared" si="1"/>
        <v>84.11999999999999</v>
      </c>
      <c r="K34" s="11">
        <v>22.7</v>
      </c>
      <c r="L34" s="11">
        <v>2.4</v>
      </c>
      <c r="M34" s="11">
        <v>0.61</v>
      </c>
      <c r="N34" s="11">
        <v>7.0000000000000007E-2</v>
      </c>
      <c r="O34" s="11">
        <v>6.1</v>
      </c>
      <c r="P34" s="11">
        <v>0.65</v>
      </c>
      <c r="Q34" s="25">
        <f>((M34/100)*H34)/1875</f>
        <v>5.1313199999999982E-5</v>
      </c>
      <c r="R34" s="24">
        <f>((K34/100)*H34)/1875</f>
        <v>1.9095239999999995E-3</v>
      </c>
      <c r="S34" s="23">
        <f t="shared" ref="S34:S65" si="4">Q34*10000</f>
        <v>0.51313199999999981</v>
      </c>
      <c r="T34" s="10">
        <f t="shared" ref="T34:T65" si="5">R34*10000</f>
        <v>19.095239999999993</v>
      </c>
      <c r="U34" s="12">
        <v>54</v>
      </c>
      <c r="V34" s="10">
        <f>J34/U34</f>
        <v>1.5577777777777777</v>
      </c>
      <c r="W34" s="29">
        <f>S34/U34</f>
        <v>9.5024444444444401E-3</v>
      </c>
      <c r="X34" s="29">
        <f>T34/U34</f>
        <v>0.35361555555555541</v>
      </c>
    </row>
    <row r="35" spans="1:24" x14ac:dyDescent="0.25">
      <c r="A35" s="17">
        <v>1</v>
      </c>
      <c r="B35" s="17">
        <v>2</v>
      </c>
      <c r="C35" s="17">
        <v>3</v>
      </c>
      <c r="D35" s="17">
        <v>2</v>
      </c>
      <c r="E35" s="12" t="s">
        <v>24</v>
      </c>
      <c r="F35" s="27">
        <v>92.4</v>
      </c>
      <c r="G35" s="28">
        <v>184.5701</v>
      </c>
      <c r="H35" s="7">
        <v>14.131899999999998</v>
      </c>
      <c r="I35" s="23">
        <f t="shared" si="0"/>
        <v>7.5370133333333327E-3</v>
      </c>
      <c r="J35" s="23">
        <f t="shared" si="1"/>
        <v>75.370133333333328</v>
      </c>
      <c r="K35" s="11">
        <v>14.2</v>
      </c>
      <c r="L35" s="11">
        <v>1.1000000000000001</v>
      </c>
      <c r="M35" s="11">
        <v>0.79</v>
      </c>
      <c r="N35" s="11">
        <v>0.06</v>
      </c>
      <c r="O35" s="11">
        <v>7.9</v>
      </c>
      <c r="P35" s="11">
        <v>0.6</v>
      </c>
      <c r="Q35" s="25">
        <f>((M35/100)*H35)/1875</f>
        <v>5.9542405333333331E-5</v>
      </c>
      <c r="R35" s="24">
        <f>((K35/100)*H35)/1875</f>
        <v>1.0702558933333331E-3</v>
      </c>
      <c r="S35" s="23">
        <f t="shared" si="4"/>
        <v>0.59542405333333326</v>
      </c>
      <c r="T35" s="10">
        <f t="shared" si="5"/>
        <v>10.70255893333333</v>
      </c>
      <c r="U35" s="12">
        <v>54</v>
      </c>
      <c r="V35" s="10">
        <f>J35/U35</f>
        <v>1.3957432098765432</v>
      </c>
      <c r="W35" s="29">
        <f>S35/U35</f>
        <v>1.102637135802469E-2</v>
      </c>
      <c r="X35" s="29">
        <f>T35/U35</f>
        <v>0.19819553580246907</v>
      </c>
    </row>
    <row r="36" spans="1:24" x14ac:dyDescent="0.25">
      <c r="A36" s="17">
        <v>1</v>
      </c>
      <c r="B36" s="17">
        <v>2</v>
      </c>
      <c r="C36" s="17">
        <v>3</v>
      </c>
      <c r="D36" s="17">
        <v>2</v>
      </c>
      <c r="E36" s="12" t="s">
        <v>25</v>
      </c>
      <c r="F36" s="27">
        <v>91</v>
      </c>
      <c r="G36" s="28">
        <v>186.89529999999999</v>
      </c>
      <c r="H36" s="7">
        <v>17.026700000000002</v>
      </c>
      <c r="I36" s="23">
        <f t="shared" si="0"/>
        <v>9.0809066666666678E-3</v>
      </c>
      <c r="J36" s="23">
        <f t="shared" si="1"/>
        <v>90.809066666666681</v>
      </c>
      <c r="K36" s="11">
        <v>21.7</v>
      </c>
      <c r="L36" s="11">
        <v>1.9</v>
      </c>
      <c r="M36" s="11">
        <v>0.67</v>
      </c>
      <c r="N36" s="11">
        <v>0.06</v>
      </c>
      <c r="O36" s="11">
        <v>6.7</v>
      </c>
      <c r="P36" s="11">
        <v>0.6</v>
      </c>
      <c r="Q36" s="25">
        <f>((M36/100)*H36)/1875</f>
        <v>6.0842074666666673E-5</v>
      </c>
      <c r="R36" s="24">
        <f>((K36/100)*H36)/1875</f>
        <v>1.9705567466666669E-3</v>
      </c>
      <c r="S36" s="23">
        <f t="shared" si="4"/>
        <v>0.60842074666666668</v>
      </c>
      <c r="T36" s="10">
        <f t="shared" si="5"/>
        <v>19.705567466666668</v>
      </c>
      <c r="U36" s="12">
        <v>54</v>
      </c>
      <c r="V36" s="10">
        <f>J36/U36</f>
        <v>1.6816493827160497</v>
      </c>
      <c r="W36" s="29">
        <f>S36/U36</f>
        <v>1.1267050864197532E-2</v>
      </c>
      <c r="X36" s="29">
        <f>T36/U36</f>
        <v>0.36491791604938273</v>
      </c>
    </row>
    <row r="37" spans="1:24" x14ac:dyDescent="0.25">
      <c r="A37" s="17">
        <v>1</v>
      </c>
      <c r="B37" s="17">
        <v>2</v>
      </c>
      <c r="C37" s="17">
        <v>3</v>
      </c>
      <c r="D37" s="17">
        <v>2</v>
      </c>
      <c r="E37" s="12" t="s">
        <v>26</v>
      </c>
      <c r="F37" s="27">
        <v>94</v>
      </c>
      <c r="G37" s="28">
        <v>351.30399999999997</v>
      </c>
      <c r="H37" s="7">
        <v>21.069900000000001</v>
      </c>
      <c r="I37" s="23">
        <f t="shared" si="0"/>
        <v>1.1237280000000001E-2</v>
      </c>
      <c r="J37" s="23">
        <f t="shared" si="1"/>
        <v>112.37280000000001</v>
      </c>
      <c r="K37" s="11">
        <v>8.1</v>
      </c>
      <c r="L37" s="11">
        <v>0.5</v>
      </c>
      <c r="M37" s="11">
        <v>0.88</v>
      </c>
      <c r="N37" s="11">
        <v>0.05</v>
      </c>
      <c r="O37" s="11">
        <v>8.8000000000000007</v>
      </c>
      <c r="P37" s="11">
        <v>0.53</v>
      </c>
      <c r="Q37" s="25">
        <f>((M37/100)*H37)/1875</f>
        <v>9.8888064000000008E-5</v>
      </c>
      <c r="R37" s="24">
        <f>((K37/100)*H37)/1875</f>
        <v>9.1021968000000008E-4</v>
      </c>
      <c r="S37" s="23">
        <f t="shared" si="4"/>
        <v>0.98888064000000009</v>
      </c>
      <c r="T37" s="10">
        <f t="shared" si="5"/>
        <v>9.1021968000000015</v>
      </c>
      <c r="U37" s="12">
        <v>54</v>
      </c>
      <c r="V37" s="10">
        <f>J37/U37</f>
        <v>2.080977777777778</v>
      </c>
      <c r="W37" s="29">
        <f>S37/U37</f>
        <v>1.8312604444444446E-2</v>
      </c>
      <c r="X37" s="29">
        <f>T37/U37</f>
        <v>0.16855920000000002</v>
      </c>
    </row>
    <row r="38" spans="1:24" x14ac:dyDescent="0.25">
      <c r="A38" s="17">
        <v>2</v>
      </c>
      <c r="B38" s="17">
        <v>1</v>
      </c>
      <c r="C38" s="17">
        <v>1</v>
      </c>
      <c r="D38" s="17">
        <v>1</v>
      </c>
      <c r="E38" s="12" t="s">
        <v>24</v>
      </c>
      <c r="F38" s="27">
        <v>97.6</v>
      </c>
      <c r="G38" s="28">
        <v>7.0805999999999996</v>
      </c>
      <c r="H38" s="7">
        <v>0.1664999999999992</v>
      </c>
      <c r="I38" s="23">
        <f t="shared" si="0"/>
        <v>8.879999999999957E-5</v>
      </c>
      <c r="J38" s="23">
        <f t="shared" si="1"/>
        <v>0.88799999999999568</v>
      </c>
      <c r="K38" s="11">
        <v>2.5</v>
      </c>
      <c r="L38" s="11">
        <v>0.1</v>
      </c>
      <c r="M38" s="11">
        <v>0.3</v>
      </c>
      <c r="N38" s="11">
        <v>0.01</v>
      </c>
      <c r="O38" s="11">
        <v>3</v>
      </c>
      <c r="P38" s="11">
        <v>7.0000000000000007E-2</v>
      </c>
      <c r="Q38" s="25">
        <f>((M38/100)*H38)/1875</f>
        <v>2.6639999999999873E-7</v>
      </c>
      <c r="R38" s="24">
        <f>((K38/100)*H38)/1875</f>
        <v>2.2199999999999898E-6</v>
      </c>
      <c r="S38" s="23">
        <f t="shared" si="4"/>
        <v>2.6639999999999871E-3</v>
      </c>
      <c r="T38" s="10">
        <f t="shared" si="5"/>
        <v>2.2199999999999897E-2</v>
      </c>
      <c r="U38" s="12">
        <v>13</v>
      </c>
      <c r="V38" s="10">
        <f>J38/U38</f>
        <v>6.8307692307691972E-2</v>
      </c>
      <c r="W38" s="29">
        <f>S38/U38</f>
        <v>2.0492307692307593E-4</v>
      </c>
      <c r="X38" s="29">
        <f>T38/U38</f>
        <v>1.7076923076922998E-3</v>
      </c>
    </row>
    <row r="39" spans="1:24" x14ac:dyDescent="0.25">
      <c r="A39" s="17">
        <v>2</v>
      </c>
      <c r="B39" s="17">
        <v>1</v>
      </c>
      <c r="C39" s="17">
        <v>1</v>
      </c>
      <c r="D39" s="17">
        <v>1</v>
      </c>
      <c r="E39" s="12" t="s">
        <v>25</v>
      </c>
      <c r="F39" s="27">
        <v>99</v>
      </c>
      <c r="G39" s="28">
        <v>11.5402</v>
      </c>
      <c r="H39" s="7">
        <v>0.11379999999999946</v>
      </c>
      <c r="I39" s="23">
        <f t="shared" si="0"/>
        <v>6.0693333333333046E-5</v>
      </c>
      <c r="J39" s="23">
        <f t="shared" si="1"/>
        <v>0.60693333333333044</v>
      </c>
      <c r="K39" s="11">
        <v>1.5</v>
      </c>
      <c r="L39" s="11">
        <v>0</v>
      </c>
      <c r="M39" s="11">
        <v>0.16</v>
      </c>
      <c r="N39" s="11">
        <v>0</v>
      </c>
      <c r="O39" s="11">
        <v>1.6</v>
      </c>
      <c r="P39" s="11">
        <v>0.02</v>
      </c>
      <c r="Q39" s="25">
        <f>((M39/100)*H39)/1875</f>
        <v>9.7109333333332879E-8</v>
      </c>
      <c r="R39" s="24">
        <f>((K39/100)*H39)/1875</f>
        <v>9.1039999999999555E-7</v>
      </c>
      <c r="S39" s="23">
        <f t="shared" si="4"/>
        <v>9.7109333333332884E-4</v>
      </c>
      <c r="T39" s="10">
        <f t="shared" si="5"/>
        <v>9.1039999999999559E-3</v>
      </c>
      <c r="U39" s="12">
        <v>13</v>
      </c>
      <c r="V39" s="10">
        <f>J39/U39</f>
        <v>4.6687179487179264E-2</v>
      </c>
      <c r="W39" s="29">
        <f>S39/U39</f>
        <v>7.469948717948684E-5</v>
      </c>
      <c r="X39" s="29">
        <f>T39/U39</f>
        <v>7.0030769230768888E-4</v>
      </c>
    </row>
    <row r="40" spans="1:24" x14ac:dyDescent="0.25">
      <c r="A40" s="17">
        <v>2</v>
      </c>
      <c r="B40" s="17">
        <v>1</v>
      </c>
      <c r="C40" s="17">
        <v>1</v>
      </c>
      <c r="D40" s="17">
        <v>1</v>
      </c>
      <c r="E40" s="12" t="s">
        <v>26</v>
      </c>
      <c r="F40" s="27">
        <v>97.8</v>
      </c>
      <c r="G40" s="28">
        <v>9.5388000000000002</v>
      </c>
      <c r="H40" s="7">
        <v>0.21269999999999989</v>
      </c>
      <c r="I40" s="23">
        <f t="shared" si="0"/>
        <v>1.1343999999999994E-4</v>
      </c>
      <c r="J40" s="23">
        <f t="shared" si="1"/>
        <v>1.1343999999999994</v>
      </c>
      <c r="K40" s="11">
        <v>1.8</v>
      </c>
      <c r="L40" s="11">
        <v>0</v>
      </c>
      <c r="M40" s="11">
        <v>0.23</v>
      </c>
      <c r="N40" s="11">
        <v>0.01</v>
      </c>
      <c r="O40" s="11">
        <v>2.2999999999999998</v>
      </c>
      <c r="P40" s="11">
        <v>0.05</v>
      </c>
      <c r="Q40" s="25">
        <f>((M40/100)*H40)/1875</f>
        <v>2.6091199999999982E-7</v>
      </c>
      <c r="R40" s="24">
        <f>((K40/100)*H40)/1875</f>
        <v>2.0419199999999992E-6</v>
      </c>
      <c r="S40" s="23">
        <f t="shared" si="4"/>
        <v>2.6091199999999982E-3</v>
      </c>
      <c r="T40" s="10">
        <f t="shared" si="5"/>
        <v>2.0419199999999992E-2</v>
      </c>
      <c r="U40" s="12">
        <v>13</v>
      </c>
      <c r="V40" s="10">
        <f>J40/U40</f>
        <v>8.7261538461538418E-2</v>
      </c>
      <c r="W40" s="29">
        <f>S40/U40</f>
        <v>2.0070153846153831E-4</v>
      </c>
      <c r="X40" s="29">
        <f>T40/U40</f>
        <v>1.5707076923076916E-3</v>
      </c>
    </row>
    <row r="41" spans="1:24" x14ac:dyDescent="0.25">
      <c r="A41" s="17">
        <v>2</v>
      </c>
      <c r="B41" s="17">
        <v>1</v>
      </c>
      <c r="C41" s="17">
        <v>1</v>
      </c>
      <c r="D41" s="17">
        <v>2</v>
      </c>
      <c r="E41" s="12" t="s">
        <v>24</v>
      </c>
      <c r="F41" s="27">
        <v>98.1</v>
      </c>
      <c r="G41" s="28">
        <v>9.9703999999999997</v>
      </c>
      <c r="H41" s="7">
        <v>0.19209999999999994</v>
      </c>
      <c r="I41" s="23">
        <f t="shared" si="0"/>
        <v>1.024533333333333E-4</v>
      </c>
      <c r="J41" s="23">
        <f t="shared" si="1"/>
        <v>1.0245333333333331</v>
      </c>
      <c r="K41" s="11">
        <v>3.6</v>
      </c>
      <c r="L41" s="11">
        <v>0.1</v>
      </c>
      <c r="M41" s="11">
        <v>0.23</v>
      </c>
      <c r="N41" s="11">
        <v>0</v>
      </c>
      <c r="O41" s="11">
        <v>2.2999999999999998</v>
      </c>
      <c r="P41" s="11">
        <v>0.05</v>
      </c>
      <c r="Q41" s="25">
        <f>((M41/100)*H41)/1875</f>
        <v>2.3564266666666657E-7</v>
      </c>
      <c r="R41" s="24">
        <f>((K41/100)*H41)/1875</f>
        <v>3.6883199999999992E-6</v>
      </c>
      <c r="S41" s="23">
        <f t="shared" si="4"/>
        <v>2.3564266666666655E-3</v>
      </c>
      <c r="T41" s="10">
        <f t="shared" si="5"/>
        <v>3.6883199999999991E-2</v>
      </c>
      <c r="U41" s="12">
        <v>13</v>
      </c>
      <c r="V41" s="10">
        <f>J41/U41</f>
        <v>7.8810256410256394E-2</v>
      </c>
      <c r="W41" s="29">
        <f>S41/U41</f>
        <v>1.8126358974358966E-4</v>
      </c>
      <c r="X41" s="29">
        <f>T41/U41</f>
        <v>2.8371692307692302E-3</v>
      </c>
    </row>
    <row r="42" spans="1:24" x14ac:dyDescent="0.25">
      <c r="A42" s="17">
        <v>2</v>
      </c>
      <c r="B42" s="17">
        <v>1</v>
      </c>
      <c r="C42" s="17">
        <v>1</v>
      </c>
      <c r="D42" s="17">
        <v>2</v>
      </c>
      <c r="E42" s="12" t="s">
        <v>25</v>
      </c>
      <c r="F42" s="27">
        <v>98.6</v>
      </c>
      <c r="G42" s="28">
        <v>14.1524</v>
      </c>
      <c r="H42" s="7">
        <v>0.1960999999999995</v>
      </c>
      <c r="I42" s="23">
        <f t="shared" si="0"/>
        <v>1.045866666666664E-4</v>
      </c>
      <c r="J42" s="23">
        <f t="shared" si="1"/>
        <v>1.0458666666666641</v>
      </c>
      <c r="K42" s="11">
        <v>2</v>
      </c>
      <c r="L42" s="11">
        <v>0</v>
      </c>
      <c r="M42" s="11">
        <v>0.11</v>
      </c>
      <c r="N42" s="11">
        <v>0</v>
      </c>
      <c r="O42" s="11">
        <v>1.1000000000000001</v>
      </c>
      <c r="P42" s="11">
        <v>0.02</v>
      </c>
      <c r="Q42" s="25">
        <f>((M42/100)*H42)/1875</f>
        <v>1.1504533333333305E-7</v>
      </c>
      <c r="R42" s="24">
        <f>((K42/100)*H42)/1875</f>
        <v>2.0917333333333277E-6</v>
      </c>
      <c r="S42" s="23">
        <f t="shared" si="4"/>
        <v>1.1504533333333304E-3</v>
      </c>
      <c r="T42" s="10">
        <f t="shared" si="5"/>
        <v>2.0917333333333277E-2</v>
      </c>
      <c r="U42" s="12">
        <v>13</v>
      </c>
      <c r="V42" s="10">
        <f>J42/U42</f>
        <v>8.0451282051281853E-2</v>
      </c>
      <c r="W42" s="29">
        <f>S42/U42</f>
        <v>8.8496410256410035E-5</v>
      </c>
      <c r="X42" s="29">
        <f>T42/U42</f>
        <v>1.6090256410256367E-3</v>
      </c>
    </row>
    <row r="43" spans="1:24" ht="18.399999999999999" customHeight="1" x14ac:dyDescent="0.25">
      <c r="A43" s="17">
        <v>2</v>
      </c>
      <c r="B43" s="17">
        <v>1</v>
      </c>
      <c r="C43" s="17">
        <v>1</v>
      </c>
      <c r="D43" s="17">
        <v>2</v>
      </c>
      <c r="E43" s="12" t="s">
        <v>26</v>
      </c>
      <c r="F43" s="27">
        <v>97.7</v>
      </c>
      <c r="G43" s="28">
        <v>6.734</v>
      </c>
      <c r="H43" s="7">
        <v>0.15629999999999988</v>
      </c>
      <c r="I43" s="23">
        <f t="shared" si="0"/>
        <v>8.3359999999999934E-5</v>
      </c>
      <c r="J43" s="23">
        <f t="shared" si="1"/>
        <v>0.83359999999999934</v>
      </c>
      <c r="K43" s="11">
        <v>1.6</v>
      </c>
      <c r="L43" s="11">
        <v>0</v>
      </c>
      <c r="M43" s="11">
        <v>7.0000000000000007E-2</v>
      </c>
      <c r="N43" s="11">
        <v>0</v>
      </c>
      <c r="O43" s="11">
        <v>0.7</v>
      </c>
      <c r="P43" s="11">
        <v>0.02</v>
      </c>
      <c r="Q43" s="25">
        <f>((M43/100)*H43)/1875</f>
        <v>5.8351999999999966E-8</v>
      </c>
      <c r="R43" s="24">
        <f>((K43/100)*H43)/1875</f>
        <v>1.3337599999999992E-6</v>
      </c>
      <c r="S43" s="23">
        <f t="shared" si="4"/>
        <v>5.835199999999997E-4</v>
      </c>
      <c r="T43" s="10">
        <f t="shared" si="5"/>
        <v>1.3337599999999991E-2</v>
      </c>
      <c r="U43" s="12">
        <v>13</v>
      </c>
      <c r="V43" s="10">
        <f>J43/U43</f>
        <v>6.4123076923076866E-2</v>
      </c>
      <c r="W43" s="29">
        <f>S43/U43</f>
        <v>4.4886153846153824E-5</v>
      </c>
      <c r="X43" s="29">
        <f>T43/U43</f>
        <v>1.0259692307692302E-3</v>
      </c>
    </row>
    <row r="44" spans="1:24" x14ac:dyDescent="0.25">
      <c r="A44" s="17">
        <v>2</v>
      </c>
      <c r="B44" s="17">
        <v>1</v>
      </c>
      <c r="C44" s="17">
        <v>2</v>
      </c>
      <c r="D44" s="17">
        <v>1</v>
      </c>
      <c r="E44" s="12" t="s">
        <v>24</v>
      </c>
      <c r="F44" s="27">
        <v>93.7</v>
      </c>
      <c r="G44" s="28">
        <v>13.3475</v>
      </c>
      <c r="H44" s="7">
        <v>0.84320000000000128</v>
      </c>
      <c r="I44" s="23">
        <f t="shared" si="0"/>
        <v>4.4970666666666737E-4</v>
      </c>
      <c r="J44" s="23">
        <f t="shared" si="1"/>
        <v>4.4970666666666741</v>
      </c>
      <c r="K44" s="11">
        <v>10</v>
      </c>
      <c r="L44" s="11">
        <v>0.6</v>
      </c>
      <c r="M44" s="11">
        <v>1.85</v>
      </c>
      <c r="N44" s="11">
        <v>0.12</v>
      </c>
      <c r="O44" s="11">
        <v>18.5</v>
      </c>
      <c r="P44" s="11">
        <v>1.17</v>
      </c>
      <c r="Q44" s="25">
        <f>((M44/100)*H44)/1875</f>
        <v>8.3195733333333469E-6</v>
      </c>
      <c r="R44" s="24">
        <f>((K44/100)*H44)/1875</f>
        <v>4.4970666666666734E-5</v>
      </c>
      <c r="S44" s="23">
        <f t="shared" si="4"/>
        <v>8.3195733333333466E-2</v>
      </c>
      <c r="T44" s="10">
        <f t="shared" si="5"/>
        <v>0.44970666666666737</v>
      </c>
      <c r="U44" s="12">
        <v>32</v>
      </c>
      <c r="V44" s="10">
        <f>J44/U44</f>
        <v>0.14053333333333357</v>
      </c>
      <c r="W44" s="29">
        <f>S44/U44</f>
        <v>2.5998666666666708E-3</v>
      </c>
      <c r="X44" s="29">
        <f>T44/U44</f>
        <v>1.4053333333333355E-2</v>
      </c>
    </row>
    <row r="45" spans="1:24" x14ac:dyDescent="0.25">
      <c r="A45" s="17">
        <v>2</v>
      </c>
      <c r="B45" s="17">
        <v>1</v>
      </c>
      <c r="C45" s="17">
        <v>2</v>
      </c>
      <c r="D45" s="17">
        <v>1</v>
      </c>
      <c r="E45" s="12" t="s">
        <v>25</v>
      </c>
      <c r="F45" s="27">
        <v>92.7</v>
      </c>
      <c r="G45" s="28">
        <v>13.41</v>
      </c>
      <c r="H45" s="7">
        <v>0.98490000000000144</v>
      </c>
      <c r="I45" s="23">
        <f t="shared" si="0"/>
        <v>5.252800000000008E-4</v>
      </c>
      <c r="J45" s="23">
        <f t="shared" si="1"/>
        <v>5.2528000000000077</v>
      </c>
      <c r="K45" s="11">
        <v>9.3000000000000007</v>
      </c>
      <c r="L45" s="11">
        <v>0.7</v>
      </c>
      <c r="M45" s="11">
        <v>1.46</v>
      </c>
      <c r="N45" s="11">
        <v>0.11</v>
      </c>
      <c r="O45" s="11">
        <v>14.6</v>
      </c>
      <c r="P45" s="11">
        <v>1.07</v>
      </c>
      <c r="Q45" s="25">
        <f>((M45/100)*H45)/1875</f>
        <v>7.6690880000000115E-6</v>
      </c>
      <c r="R45" s="24">
        <f>((K45/100)*H45)/1875</f>
        <v>4.8851040000000074E-5</v>
      </c>
      <c r="S45" s="23">
        <f t="shared" si="4"/>
        <v>7.6690880000000114E-2</v>
      </c>
      <c r="T45" s="10">
        <f t="shared" si="5"/>
        <v>0.48851040000000073</v>
      </c>
      <c r="U45" s="12">
        <v>32</v>
      </c>
      <c r="V45" s="10">
        <f>J45/U45</f>
        <v>0.16415000000000024</v>
      </c>
      <c r="W45" s="29">
        <f>S45/U45</f>
        <v>2.3965900000000036E-3</v>
      </c>
      <c r="X45" s="29">
        <f>T45/U45</f>
        <v>1.5265950000000023E-2</v>
      </c>
    </row>
    <row r="46" spans="1:24" x14ac:dyDescent="0.25">
      <c r="A46" s="17">
        <v>2</v>
      </c>
      <c r="B46" s="17">
        <v>1</v>
      </c>
      <c r="C46" s="17">
        <v>2</v>
      </c>
      <c r="D46" s="17">
        <v>1</v>
      </c>
      <c r="E46" s="12" t="s">
        <v>26</v>
      </c>
      <c r="F46" s="27">
        <v>93</v>
      </c>
      <c r="G46" s="28">
        <v>15.1922</v>
      </c>
      <c r="H46" s="7">
        <v>1.0619000000000014</v>
      </c>
      <c r="I46" s="23">
        <f t="shared" si="0"/>
        <v>5.6634666666666742E-4</v>
      </c>
      <c r="J46" s="23">
        <f t="shared" si="1"/>
        <v>5.6634666666666744</v>
      </c>
      <c r="K46" s="11">
        <v>9.6</v>
      </c>
      <c r="L46" s="11">
        <v>0.7</v>
      </c>
      <c r="M46" s="11">
        <v>1.57</v>
      </c>
      <c r="N46" s="11">
        <v>0.11</v>
      </c>
      <c r="O46" s="11">
        <v>15.7</v>
      </c>
      <c r="P46" s="11">
        <v>1.1000000000000001</v>
      </c>
      <c r="Q46" s="25">
        <f>((M46/100)*H46)/1875</f>
        <v>8.8916426666666794E-6</v>
      </c>
      <c r="R46" s="24">
        <f>((K46/100)*H46)/1875</f>
        <v>5.4369280000000075E-5</v>
      </c>
      <c r="S46" s="23">
        <f t="shared" si="4"/>
        <v>8.8916426666666798E-2</v>
      </c>
      <c r="T46" s="10">
        <f t="shared" si="5"/>
        <v>0.54369280000000075</v>
      </c>
      <c r="U46" s="12">
        <v>32</v>
      </c>
      <c r="V46" s="10">
        <f>J46/U46</f>
        <v>0.17698333333333358</v>
      </c>
      <c r="W46" s="29">
        <f>S46/U46</f>
        <v>2.7786383333333374E-3</v>
      </c>
      <c r="X46" s="29">
        <f>T46/U46</f>
        <v>1.6990400000000024E-2</v>
      </c>
    </row>
    <row r="47" spans="1:24" x14ac:dyDescent="0.25">
      <c r="A47" s="17">
        <v>2</v>
      </c>
      <c r="B47" s="17">
        <v>1</v>
      </c>
      <c r="C47" s="17">
        <v>2</v>
      </c>
      <c r="D47" s="17">
        <v>2</v>
      </c>
      <c r="E47" s="12" t="s">
        <v>24</v>
      </c>
      <c r="F47" s="27">
        <v>94.7</v>
      </c>
      <c r="G47" s="28">
        <v>16.670100000000001</v>
      </c>
      <c r="H47" s="7">
        <v>0.87979999999999947</v>
      </c>
      <c r="I47" s="23">
        <f t="shared" si="0"/>
        <v>4.6922666666666637E-4</v>
      </c>
      <c r="J47" s="23">
        <f t="shared" si="1"/>
        <v>4.6922666666666633</v>
      </c>
      <c r="K47" s="11">
        <v>9.8000000000000007</v>
      </c>
      <c r="L47" s="11">
        <v>0.5</v>
      </c>
      <c r="M47" s="11">
        <v>1.56</v>
      </c>
      <c r="N47" s="11">
        <v>0.08</v>
      </c>
      <c r="O47" s="11">
        <v>15.6</v>
      </c>
      <c r="P47" s="11">
        <v>0.82</v>
      </c>
      <c r="Q47" s="25">
        <f>((M47/100)*H47)/1875</f>
        <v>7.3199359999999959E-6</v>
      </c>
      <c r="R47" s="24">
        <f>((K47/100)*H47)/1875</f>
        <v>4.5984213333333304E-5</v>
      </c>
      <c r="S47" s="23">
        <f t="shared" si="4"/>
        <v>7.3199359999999963E-2</v>
      </c>
      <c r="T47" s="10">
        <f t="shared" si="5"/>
        <v>0.45984213333333301</v>
      </c>
      <c r="U47" s="12">
        <v>32</v>
      </c>
      <c r="V47" s="10">
        <f>J47/U47</f>
        <v>0.14663333333333323</v>
      </c>
      <c r="W47" s="29">
        <f>S47/U47</f>
        <v>2.2874799999999989E-3</v>
      </c>
      <c r="X47" s="29">
        <f>T47/U47</f>
        <v>1.4370066666666657E-2</v>
      </c>
    </row>
    <row r="48" spans="1:24" x14ac:dyDescent="0.25">
      <c r="A48" s="17">
        <v>2</v>
      </c>
      <c r="B48" s="17">
        <v>1</v>
      </c>
      <c r="C48" s="17">
        <v>2</v>
      </c>
      <c r="D48" s="17">
        <v>2</v>
      </c>
      <c r="E48" s="12" t="s">
        <v>25</v>
      </c>
      <c r="F48" s="27">
        <v>94</v>
      </c>
      <c r="G48" s="28">
        <v>17.2531</v>
      </c>
      <c r="H48" s="7">
        <v>1.0269999999999992</v>
      </c>
      <c r="I48" s="23">
        <f t="shared" si="0"/>
        <v>5.4773333333333295E-4</v>
      </c>
      <c r="J48" s="23">
        <f t="shared" si="1"/>
        <v>5.4773333333333296</v>
      </c>
      <c r="K48" s="11">
        <v>9.8000000000000007</v>
      </c>
      <c r="L48" s="11">
        <v>0.6</v>
      </c>
      <c r="M48" s="11">
        <v>1.8</v>
      </c>
      <c r="N48" s="11">
        <v>0.11</v>
      </c>
      <c r="O48" s="11">
        <v>18</v>
      </c>
      <c r="P48" s="11">
        <v>1.07</v>
      </c>
      <c r="Q48" s="25">
        <f>((M48/100)*H48)/1875</f>
        <v>9.8591999999999936E-6</v>
      </c>
      <c r="R48" s="24">
        <f>((K48/100)*H48)/1875</f>
        <v>5.3677866666666629E-5</v>
      </c>
      <c r="S48" s="23">
        <f t="shared" si="4"/>
        <v>9.859199999999993E-2</v>
      </c>
      <c r="T48" s="10">
        <f t="shared" si="5"/>
        <v>0.53677866666666629</v>
      </c>
      <c r="U48" s="12">
        <v>32</v>
      </c>
      <c r="V48" s="10">
        <f>J48/U48</f>
        <v>0.17116666666666655</v>
      </c>
      <c r="W48" s="29">
        <f>S48/U48</f>
        <v>3.0809999999999978E-3</v>
      </c>
      <c r="X48" s="29">
        <f>T48/U48</f>
        <v>1.6774333333333322E-2</v>
      </c>
    </row>
    <row r="49" spans="1:24" x14ac:dyDescent="0.25">
      <c r="A49" s="17">
        <v>2</v>
      </c>
      <c r="B49" s="17">
        <v>1</v>
      </c>
      <c r="C49" s="17">
        <v>2</v>
      </c>
      <c r="D49" s="17">
        <v>2</v>
      </c>
      <c r="E49" s="12" t="s">
        <v>26</v>
      </c>
      <c r="F49" s="27">
        <v>93.7</v>
      </c>
      <c r="G49" s="28">
        <v>17.8459</v>
      </c>
      <c r="H49" s="7">
        <v>1.1316999999999986</v>
      </c>
      <c r="I49" s="23">
        <f t="shared" si="0"/>
        <v>6.0357333333333255E-4</v>
      </c>
      <c r="J49" s="23">
        <f t="shared" si="1"/>
        <v>6.0357333333333258</v>
      </c>
      <c r="K49" s="11">
        <v>9.8000000000000007</v>
      </c>
      <c r="L49" s="11">
        <v>0.6</v>
      </c>
      <c r="M49" s="11">
        <v>1.74</v>
      </c>
      <c r="N49" s="11">
        <v>0.11</v>
      </c>
      <c r="O49" s="11">
        <v>17.399999999999999</v>
      </c>
      <c r="P49" s="11">
        <v>1.1000000000000001</v>
      </c>
      <c r="Q49" s="25">
        <f>((M49/100)*H49)/1875</f>
        <v>1.0502175999999987E-5</v>
      </c>
      <c r="R49" s="24">
        <f>((K49/100)*H49)/1875</f>
        <v>5.9150186666666595E-5</v>
      </c>
      <c r="S49" s="23">
        <f t="shared" si="4"/>
        <v>0.10502175999999987</v>
      </c>
      <c r="T49" s="10">
        <f t="shared" si="5"/>
        <v>0.59150186666666593</v>
      </c>
      <c r="U49" s="12">
        <v>32</v>
      </c>
      <c r="V49" s="10">
        <f>J49/U49</f>
        <v>0.18861666666666643</v>
      </c>
      <c r="W49" s="29">
        <f>S49/U49</f>
        <v>3.2819299999999958E-3</v>
      </c>
      <c r="X49" s="29">
        <f>T49/U49</f>
        <v>1.848443333333331E-2</v>
      </c>
    </row>
    <row r="50" spans="1:24" x14ac:dyDescent="0.25">
      <c r="A50" s="17">
        <v>2</v>
      </c>
      <c r="B50" s="17">
        <v>1</v>
      </c>
      <c r="C50" s="17">
        <v>3</v>
      </c>
      <c r="D50" s="17">
        <v>1</v>
      </c>
      <c r="E50" s="12" t="s">
        <v>24</v>
      </c>
      <c r="F50" s="27">
        <v>93.4</v>
      </c>
      <c r="G50" s="28">
        <v>23.1723</v>
      </c>
      <c r="H50" s="7">
        <v>1.5327000000000002</v>
      </c>
      <c r="I50" s="23">
        <f t="shared" si="0"/>
        <v>8.1744000000000012E-4</v>
      </c>
      <c r="J50" s="23">
        <f t="shared" si="1"/>
        <v>8.1744000000000003</v>
      </c>
      <c r="K50" s="11">
        <v>12.1</v>
      </c>
      <c r="L50" s="11">
        <v>0.8</v>
      </c>
      <c r="M50" s="11">
        <v>1.56</v>
      </c>
      <c r="N50" s="11">
        <v>0.1</v>
      </c>
      <c r="O50" s="11">
        <v>15.6</v>
      </c>
      <c r="P50" s="11">
        <v>1.03</v>
      </c>
      <c r="Q50" s="25">
        <f>((M50/100)*H50)/1875</f>
        <v>1.2752064000000003E-5</v>
      </c>
      <c r="R50" s="24">
        <f>((K50/100)*H50)/1875</f>
        <v>9.8910240000000003E-5</v>
      </c>
      <c r="S50" s="23">
        <f t="shared" si="4"/>
        <v>0.12752064000000002</v>
      </c>
      <c r="T50" s="10">
        <f t="shared" si="5"/>
        <v>0.98910240000000005</v>
      </c>
      <c r="U50" s="12">
        <v>54</v>
      </c>
      <c r="V50" s="10">
        <f>J50/U50</f>
        <v>0.15137777777777778</v>
      </c>
      <c r="W50" s="29">
        <f>S50/U50</f>
        <v>2.3614933333333337E-3</v>
      </c>
      <c r="X50" s="29">
        <f>T50/U50</f>
        <v>1.8316711111111113E-2</v>
      </c>
    </row>
    <row r="51" spans="1:24" x14ac:dyDescent="0.25">
      <c r="A51" s="17">
        <v>2</v>
      </c>
      <c r="B51" s="17">
        <v>1</v>
      </c>
      <c r="C51" s="17">
        <v>3</v>
      </c>
      <c r="D51" s="17">
        <v>1</v>
      </c>
      <c r="E51" s="12" t="s">
        <v>25</v>
      </c>
      <c r="F51" s="27">
        <v>95</v>
      </c>
      <c r="G51" s="28">
        <v>35.551099999999998</v>
      </c>
      <c r="H51" s="7">
        <v>1.7666000000000004</v>
      </c>
      <c r="I51" s="23">
        <f t="shared" si="0"/>
        <v>9.4218666666666688E-4</v>
      </c>
      <c r="J51" s="23">
        <f t="shared" si="1"/>
        <v>9.4218666666666682</v>
      </c>
      <c r="K51" s="11">
        <v>8.6999999999999993</v>
      </c>
      <c r="L51" s="11">
        <v>0.4</v>
      </c>
      <c r="M51" s="11">
        <v>1.63</v>
      </c>
      <c r="N51" s="11">
        <v>0.08</v>
      </c>
      <c r="O51" s="11">
        <v>16.3</v>
      </c>
      <c r="P51" s="11">
        <v>0.81</v>
      </c>
      <c r="Q51" s="25">
        <f>((M51/100)*H51)/1875</f>
        <v>1.5357642666666668E-5</v>
      </c>
      <c r="R51" s="24">
        <f>((K51/100)*H51)/1875</f>
        <v>8.197024000000002E-5</v>
      </c>
      <c r="S51" s="23">
        <f t="shared" si="4"/>
        <v>0.15357642666666668</v>
      </c>
      <c r="T51" s="10">
        <f t="shared" si="5"/>
        <v>0.81970240000000016</v>
      </c>
      <c r="U51" s="12">
        <v>54</v>
      </c>
      <c r="V51" s="10">
        <f>J51/U51</f>
        <v>0.17447901234567903</v>
      </c>
      <c r="W51" s="29">
        <f>S51/U51</f>
        <v>2.8440079012345683E-3</v>
      </c>
      <c r="X51" s="29">
        <f>T51/U51</f>
        <v>1.5179674074074077E-2</v>
      </c>
    </row>
    <row r="52" spans="1:24" x14ac:dyDescent="0.25">
      <c r="A52" s="17">
        <v>2</v>
      </c>
      <c r="B52" s="17">
        <v>1</v>
      </c>
      <c r="C52" s="17">
        <v>3</v>
      </c>
      <c r="D52" s="17">
        <v>1</v>
      </c>
      <c r="E52" s="12" t="s">
        <v>26</v>
      </c>
      <c r="F52" s="27">
        <v>94</v>
      </c>
      <c r="G52" s="28">
        <v>25.168199999999999</v>
      </c>
      <c r="H52" s="7">
        <v>1.5114999999999998</v>
      </c>
      <c r="I52" s="23">
        <f t="shared" si="0"/>
        <v>8.0613333333333327E-4</v>
      </c>
      <c r="J52" s="23">
        <f t="shared" si="1"/>
        <v>8.0613333333333319</v>
      </c>
      <c r="K52" s="11">
        <v>9.4</v>
      </c>
      <c r="L52" s="11">
        <v>0.6</v>
      </c>
      <c r="M52" s="11">
        <v>1.36</v>
      </c>
      <c r="N52" s="11">
        <v>0.08</v>
      </c>
      <c r="O52" s="11">
        <v>13.6</v>
      </c>
      <c r="P52" s="11">
        <v>0.81</v>
      </c>
      <c r="Q52" s="25">
        <f>((M52/100)*H52)/1875</f>
        <v>1.0963413333333333E-5</v>
      </c>
      <c r="R52" s="24">
        <f>((K52/100)*H52)/1875</f>
        <v>7.5776533333333322E-5</v>
      </c>
      <c r="S52" s="23">
        <f t="shared" si="4"/>
        <v>0.10963413333333333</v>
      </c>
      <c r="T52" s="10">
        <f t="shared" si="5"/>
        <v>0.75776533333333318</v>
      </c>
      <c r="U52" s="12">
        <v>54</v>
      </c>
      <c r="V52" s="10">
        <f>J52/U52</f>
        <v>0.14928395061728392</v>
      </c>
      <c r="W52" s="29">
        <f>S52/U52</f>
        <v>2.0302617283950615E-3</v>
      </c>
      <c r="X52" s="29">
        <f>T52/U52</f>
        <v>1.4032691358024688E-2</v>
      </c>
    </row>
    <row r="53" spans="1:24" x14ac:dyDescent="0.25">
      <c r="A53" s="17">
        <v>2</v>
      </c>
      <c r="B53" s="17">
        <v>1</v>
      </c>
      <c r="C53" s="17">
        <v>3</v>
      </c>
      <c r="D53" s="17">
        <v>2</v>
      </c>
      <c r="E53" s="12" t="s">
        <v>24</v>
      </c>
      <c r="F53" s="27">
        <v>96.2</v>
      </c>
      <c r="G53" s="28">
        <v>41.498600000000003</v>
      </c>
      <c r="H53" s="7">
        <v>1.5826000000000011</v>
      </c>
      <c r="I53" s="23">
        <f t="shared" si="0"/>
        <v>8.4405333333333391E-4</v>
      </c>
      <c r="J53" s="23">
        <f t="shared" si="1"/>
        <v>8.4405333333333399</v>
      </c>
      <c r="K53" s="11">
        <v>7.4</v>
      </c>
      <c r="L53" s="11">
        <v>0.3</v>
      </c>
      <c r="M53" s="11">
        <v>1.73</v>
      </c>
      <c r="N53" s="11">
        <v>7.0000000000000007E-2</v>
      </c>
      <c r="O53" s="11">
        <v>17.3</v>
      </c>
      <c r="P53" s="11">
        <v>0.66</v>
      </c>
      <c r="Q53" s="25">
        <f>((M53/100)*H53)/1875</f>
        <v>1.4602122666666677E-5</v>
      </c>
      <c r="R53" s="24">
        <f>((K53/100)*H53)/1875</f>
        <v>6.2459946666666721E-5</v>
      </c>
      <c r="S53" s="23">
        <f t="shared" si="4"/>
        <v>0.14602122666666678</v>
      </c>
      <c r="T53" s="10">
        <f t="shared" si="5"/>
        <v>0.62459946666666721</v>
      </c>
      <c r="U53" s="12">
        <v>54</v>
      </c>
      <c r="V53" s="10">
        <f>J53/U53</f>
        <v>0.15630617283950629</v>
      </c>
      <c r="W53" s="29">
        <f>S53/U53</f>
        <v>2.7040967901234589E-3</v>
      </c>
      <c r="X53" s="29">
        <f>T53/U53</f>
        <v>1.1566656790123466E-2</v>
      </c>
    </row>
    <row r="54" spans="1:24" x14ac:dyDescent="0.25">
      <c r="A54" s="17">
        <v>2</v>
      </c>
      <c r="B54" s="17">
        <v>1</v>
      </c>
      <c r="C54" s="17">
        <v>3</v>
      </c>
      <c r="D54" s="17">
        <v>2</v>
      </c>
      <c r="E54" s="12" t="s">
        <v>25</v>
      </c>
      <c r="F54" s="27">
        <v>93.1</v>
      </c>
      <c r="G54" s="28">
        <v>20.314499999999999</v>
      </c>
      <c r="H54" s="7">
        <v>1.4106999999999985</v>
      </c>
      <c r="I54" s="23">
        <f t="shared" si="0"/>
        <v>7.5237333333333259E-4</v>
      </c>
      <c r="J54" s="23">
        <f t="shared" si="1"/>
        <v>7.5237333333333263</v>
      </c>
      <c r="K54" s="11">
        <v>11.6</v>
      </c>
      <c r="L54" s="11">
        <v>0.8</v>
      </c>
      <c r="M54" s="11">
        <v>1.31</v>
      </c>
      <c r="N54" s="11">
        <v>0.09</v>
      </c>
      <c r="O54" s="11">
        <v>13.1</v>
      </c>
      <c r="P54" s="11">
        <v>0.91</v>
      </c>
      <c r="Q54" s="25">
        <f>((M54/100)*H54)/1875</f>
        <v>9.8560906666666558E-6</v>
      </c>
      <c r="R54" s="24">
        <f>((K54/100)*H54)/1875</f>
        <v>8.7275306666666569E-5</v>
      </c>
      <c r="S54" s="23">
        <f t="shared" si="4"/>
        <v>9.8560906666666559E-2</v>
      </c>
      <c r="T54" s="10">
        <f t="shared" si="5"/>
        <v>0.87275306666666563</v>
      </c>
      <c r="U54" s="12">
        <v>54</v>
      </c>
      <c r="V54" s="10">
        <f>J54/U54</f>
        <v>0.13932839506172826</v>
      </c>
      <c r="W54" s="29">
        <f>S54/U54</f>
        <v>1.8252019753086399E-3</v>
      </c>
      <c r="X54" s="29">
        <f>T54/U54</f>
        <v>1.6162093827160474E-2</v>
      </c>
    </row>
    <row r="55" spans="1:24" x14ac:dyDescent="0.25">
      <c r="A55" s="17">
        <v>2</v>
      </c>
      <c r="B55" s="17">
        <v>1</v>
      </c>
      <c r="C55" s="17">
        <v>3</v>
      </c>
      <c r="D55" s="17">
        <v>2</v>
      </c>
      <c r="E55" s="12" t="s">
        <v>26</v>
      </c>
      <c r="F55" s="27">
        <v>94.1</v>
      </c>
      <c r="G55" s="28">
        <v>22.388100000000001</v>
      </c>
      <c r="H55" s="7">
        <v>1.3264999999999993</v>
      </c>
      <c r="I55" s="23">
        <f t="shared" si="0"/>
        <v>7.0746666666666634E-4</v>
      </c>
      <c r="J55" s="23">
        <f t="shared" si="1"/>
        <v>7.0746666666666638</v>
      </c>
      <c r="K55" s="11">
        <v>8.3000000000000007</v>
      </c>
      <c r="L55" s="11">
        <v>0.5</v>
      </c>
      <c r="M55" s="11">
        <v>2.12</v>
      </c>
      <c r="N55" s="11">
        <v>0.13</v>
      </c>
      <c r="O55" s="11">
        <v>21.2</v>
      </c>
      <c r="P55" s="11">
        <v>1.26</v>
      </c>
      <c r="Q55" s="25">
        <f>((M55/100)*H55)/1875</f>
        <v>1.4998293333333326E-5</v>
      </c>
      <c r="R55" s="24">
        <f>((K55/100)*H55)/1875</f>
        <v>5.8719733333333306E-5</v>
      </c>
      <c r="S55" s="23">
        <f t="shared" si="4"/>
        <v>0.14998293333333326</v>
      </c>
      <c r="T55" s="10">
        <f t="shared" si="5"/>
        <v>0.58719733333333302</v>
      </c>
      <c r="U55" s="12">
        <v>54</v>
      </c>
      <c r="V55" s="10">
        <f>J55/U55</f>
        <v>0.13101234567901229</v>
      </c>
      <c r="W55" s="29">
        <f>S55/U55</f>
        <v>2.7774617283950606E-3</v>
      </c>
      <c r="X55" s="29">
        <f>T55/U55</f>
        <v>1.0874024691358019E-2</v>
      </c>
    </row>
    <row r="56" spans="1:24" x14ac:dyDescent="0.25">
      <c r="A56" s="17">
        <v>2</v>
      </c>
      <c r="B56" s="17">
        <v>2</v>
      </c>
      <c r="C56" s="17">
        <v>1</v>
      </c>
      <c r="D56" s="17">
        <v>1</v>
      </c>
      <c r="E56" s="12" t="s">
        <v>24</v>
      </c>
      <c r="F56" s="27">
        <v>97.8</v>
      </c>
      <c r="G56" s="28">
        <v>5.6249000000000002</v>
      </c>
      <c r="H56" s="7">
        <v>0.12579999999999991</v>
      </c>
      <c r="I56" s="23">
        <f t="shared" si="0"/>
        <v>6.7093333333333283E-5</v>
      </c>
      <c r="J56" s="23">
        <f t="shared" si="1"/>
        <v>0.67093333333333283</v>
      </c>
      <c r="K56" s="11">
        <v>1.25</v>
      </c>
      <c r="L56" s="11"/>
      <c r="M56" s="11">
        <v>0.08</v>
      </c>
      <c r="N56" s="11">
        <v>0</v>
      </c>
      <c r="O56" s="11">
        <v>0.8</v>
      </c>
      <c r="P56" s="11">
        <v>0.02</v>
      </c>
      <c r="Q56" s="25">
        <f>((M56/100)*H56)/1875</f>
        <v>5.3674666666666627E-8</v>
      </c>
      <c r="R56" s="24">
        <f>((K56/100)*H56)/1875</f>
        <v>8.3866666666666618E-7</v>
      </c>
      <c r="S56" s="23">
        <f t="shared" si="4"/>
        <v>5.3674666666666626E-4</v>
      </c>
      <c r="T56" s="10">
        <f t="shared" si="5"/>
        <v>8.3866666666666621E-3</v>
      </c>
      <c r="U56" s="12">
        <v>13</v>
      </c>
      <c r="V56" s="10">
        <f>J56/U56</f>
        <v>5.1610256410256371E-2</v>
      </c>
      <c r="W56" s="29">
        <f>S56/U56</f>
        <v>4.12882051282051E-5</v>
      </c>
      <c r="X56" s="29">
        <f>T56/U56</f>
        <v>6.4512820512820481E-4</v>
      </c>
    </row>
    <row r="57" spans="1:24" x14ac:dyDescent="0.25">
      <c r="A57" s="17">
        <v>2</v>
      </c>
      <c r="B57" s="17">
        <v>2</v>
      </c>
      <c r="C57" s="17">
        <v>1</v>
      </c>
      <c r="D57" s="17">
        <v>1</v>
      </c>
      <c r="E57" s="12" t="s">
        <v>25</v>
      </c>
      <c r="F57" s="27">
        <v>97.9</v>
      </c>
      <c r="G57" s="28">
        <v>5.1265999999999998</v>
      </c>
      <c r="H57" s="7">
        <v>0.10949999999999882</v>
      </c>
      <c r="I57" s="23">
        <f t="shared" si="0"/>
        <v>5.8399999999999373E-5</v>
      </c>
      <c r="J57" s="23">
        <f t="shared" si="1"/>
        <v>0.58399999999999375</v>
      </c>
      <c r="K57" s="11">
        <v>3.1</v>
      </c>
      <c r="L57" s="11">
        <v>0.1</v>
      </c>
      <c r="M57" s="11">
        <v>0.17</v>
      </c>
      <c r="N57" s="11">
        <v>0</v>
      </c>
      <c r="O57" s="11">
        <v>1.7</v>
      </c>
      <c r="P57" s="11">
        <v>0.04</v>
      </c>
      <c r="Q57" s="25">
        <f>((M57/100)*H57)/1875</f>
        <v>9.9279999999998941E-8</v>
      </c>
      <c r="R57" s="24">
        <f>((K57/100)*H57)/1875</f>
        <v>1.8103999999999806E-6</v>
      </c>
      <c r="S57" s="23">
        <f>Q57*10000</f>
        <v>9.9279999999998944E-4</v>
      </c>
      <c r="T57" s="10">
        <f t="shared" si="5"/>
        <v>1.8103999999999804E-2</v>
      </c>
      <c r="U57" s="12">
        <v>13</v>
      </c>
      <c r="V57" s="10">
        <f>J57/U57</f>
        <v>4.4923076923076441E-2</v>
      </c>
      <c r="W57" s="29">
        <f>S57/U57</f>
        <v>7.6369230769229952E-5</v>
      </c>
      <c r="X57" s="29">
        <f>T57/U57</f>
        <v>1.3926153846153695E-3</v>
      </c>
    </row>
    <row r="58" spans="1:24" x14ac:dyDescent="0.25">
      <c r="A58" s="17">
        <v>2</v>
      </c>
      <c r="B58" s="17">
        <v>2</v>
      </c>
      <c r="C58" s="17">
        <v>1</v>
      </c>
      <c r="D58" s="17">
        <v>1</v>
      </c>
      <c r="E58" s="12" t="s">
        <v>26</v>
      </c>
      <c r="F58" s="27">
        <v>98.1</v>
      </c>
      <c r="G58" s="28">
        <v>5.6687000000000003</v>
      </c>
      <c r="H58" s="7">
        <v>0.10609999999999964</v>
      </c>
      <c r="I58" s="23">
        <f t="shared" si="0"/>
        <v>5.6586666666666475E-5</v>
      </c>
      <c r="J58" s="23">
        <f t="shared" si="1"/>
        <v>0.56586666666666474</v>
      </c>
      <c r="K58" s="11">
        <v>1.55</v>
      </c>
      <c r="L58" s="11"/>
      <c r="M58" s="11">
        <v>7.0000000000000007E-2</v>
      </c>
      <c r="N58" s="11">
        <v>0</v>
      </c>
      <c r="O58" s="11">
        <v>0.7</v>
      </c>
      <c r="P58" s="11">
        <v>0.01</v>
      </c>
      <c r="Q58" s="25">
        <f>((M58/100)*H58)/1875</f>
        <v>3.9610666666666541E-8</v>
      </c>
      <c r="R58" s="24">
        <f>((K58/100)*H58)/1875</f>
        <v>8.7709333333333033E-7</v>
      </c>
      <c r="S58" s="23">
        <f t="shared" si="4"/>
        <v>3.9610666666666541E-4</v>
      </c>
      <c r="T58" s="10">
        <f t="shared" si="5"/>
        <v>8.7709333333333035E-3</v>
      </c>
      <c r="U58" s="12">
        <v>13</v>
      </c>
      <c r="V58" s="10">
        <f>J58/U58</f>
        <v>4.3528205128204982E-2</v>
      </c>
      <c r="W58" s="29">
        <f>S58/U58</f>
        <v>3.0469743589743493E-5</v>
      </c>
      <c r="X58" s="29">
        <f>T58/U58</f>
        <v>6.7468717948717717E-4</v>
      </c>
    </row>
    <row r="59" spans="1:24" x14ac:dyDescent="0.25">
      <c r="A59" s="17">
        <v>2</v>
      </c>
      <c r="B59" s="17">
        <v>2</v>
      </c>
      <c r="C59" s="17">
        <v>1</v>
      </c>
      <c r="D59" s="17">
        <v>2</v>
      </c>
      <c r="E59" s="12" t="s">
        <v>24</v>
      </c>
      <c r="F59" s="27">
        <v>98.2</v>
      </c>
      <c r="G59" s="28">
        <v>5.3323999999999998</v>
      </c>
      <c r="H59" s="7">
        <v>9.6400000000000929E-2</v>
      </c>
      <c r="I59" s="23">
        <f t="shared" si="0"/>
        <v>5.1413333333333826E-5</v>
      </c>
      <c r="J59" s="23">
        <f t="shared" si="1"/>
        <v>0.51413333333333822</v>
      </c>
      <c r="K59" s="11">
        <v>4.4000000000000004</v>
      </c>
      <c r="L59" s="11">
        <v>0.1</v>
      </c>
      <c r="M59" s="11">
        <v>0.2</v>
      </c>
      <c r="N59" s="11">
        <v>0</v>
      </c>
      <c r="O59" s="11">
        <v>2</v>
      </c>
      <c r="P59" s="11">
        <v>0.04</v>
      </c>
      <c r="Q59" s="25">
        <f>((M59/100)*H59)/1875</f>
        <v>1.0282666666666766E-7</v>
      </c>
      <c r="R59" s="24">
        <f>((K59/100)*H59)/1875</f>
        <v>2.2621866666666889E-6</v>
      </c>
      <c r="S59" s="23">
        <f t="shared" si="4"/>
        <v>1.0282666666666766E-3</v>
      </c>
      <c r="T59" s="10">
        <f t="shared" si="5"/>
        <v>2.2621866666666889E-2</v>
      </c>
      <c r="U59" s="12">
        <v>13</v>
      </c>
      <c r="V59" s="10">
        <f>J59/U59</f>
        <v>3.9548717948718323E-2</v>
      </c>
      <c r="W59" s="29">
        <f>S59/U59</f>
        <v>7.9097435897436668E-5</v>
      </c>
      <c r="X59" s="29">
        <f>T59/U59</f>
        <v>1.7401435897436068E-3</v>
      </c>
    </row>
    <row r="60" spans="1:24" x14ac:dyDescent="0.25">
      <c r="A60" s="17">
        <v>2</v>
      </c>
      <c r="B60" s="17">
        <v>2</v>
      </c>
      <c r="C60" s="17">
        <v>1</v>
      </c>
      <c r="D60" s="17">
        <v>2</v>
      </c>
      <c r="E60" s="12" t="s">
        <v>25</v>
      </c>
      <c r="F60" s="27">
        <v>98.1</v>
      </c>
      <c r="G60" s="28">
        <v>7.0090000000000003</v>
      </c>
      <c r="H60" s="7">
        <v>0.13429999999999964</v>
      </c>
      <c r="I60" s="23">
        <f t="shared" si="0"/>
        <v>7.1626666666666473E-5</v>
      </c>
      <c r="J60" s="23">
        <f t="shared" si="1"/>
        <v>0.71626666666666472</v>
      </c>
      <c r="K60" s="11">
        <v>6.1</v>
      </c>
      <c r="L60" s="11">
        <v>0.1</v>
      </c>
      <c r="M60" s="11">
        <v>0.39</v>
      </c>
      <c r="N60" s="11">
        <v>0.01</v>
      </c>
      <c r="O60" s="11">
        <v>3.9</v>
      </c>
      <c r="P60" s="11">
        <v>7.0000000000000007E-2</v>
      </c>
      <c r="Q60" s="25">
        <f>((M60/100)*H60)/1875</f>
        <v>2.7934399999999928E-7</v>
      </c>
      <c r="R60" s="24">
        <f>((K60/100)*H60)/1875</f>
        <v>4.3692266666666551E-6</v>
      </c>
      <c r="S60" s="23">
        <f t="shared" si="4"/>
        <v>2.793439999999993E-3</v>
      </c>
      <c r="T60" s="10">
        <f t="shared" si="5"/>
        <v>4.3692266666666549E-2</v>
      </c>
      <c r="U60" s="12">
        <v>13</v>
      </c>
      <c r="V60" s="10">
        <f>J60/U60</f>
        <v>5.5097435897435751E-2</v>
      </c>
      <c r="W60" s="29">
        <f>S60/U60</f>
        <v>2.1487999999999946E-4</v>
      </c>
      <c r="X60" s="29">
        <f>T60/U60</f>
        <v>3.3609435897435807E-3</v>
      </c>
    </row>
    <row r="61" spans="1:24" x14ac:dyDescent="0.25">
      <c r="A61" s="17">
        <v>2</v>
      </c>
      <c r="B61" s="17">
        <v>2</v>
      </c>
      <c r="C61" s="17">
        <v>1</v>
      </c>
      <c r="D61" s="17">
        <v>2</v>
      </c>
      <c r="E61" s="12" t="s">
        <v>26</v>
      </c>
      <c r="F61" s="27">
        <v>98.6</v>
      </c>
      <c r="G61" s="28">
        <v>4.851</v>
      </c>
      <c r="H61" s="7">
        <v>6.5899999999999181E-2</v>
      </c>
      <c r="I61" s="23">
        <f t="shared" si="0"/>
        <v>3.5146666666666233E-5</v>
      </c>
      <c r="J61" s="23">
        <f t="shared" si="1"/>
        <v>0.35146666666666232</v>
      </c>
      <c r="K61" s="11">
        <v>2.8</v>
      </c>
      <c r="L61" s="11">
        <v>0</v>
      </c>
      <c r="M61" s="11">
        <v>0.09</v>
      </c>
      <c r="N61" s="11">
        <v>0</v>
      </c>
      <c r="O61" s="11">
        <v>0.9</v>
      </c>
      <c r="P61" s="11">
        <v>0.01</v>
      </c>
      <c r="Q61" s="25">
        <f>((M61/100)*H61)/1875</f>
        <v>3.1631999999999605E-8</v>
      </c>
      <c r="R61" s="24">
        <f>((K61/100)*H61)/1875</f>
        <v>9.8410666666665439E-7</v>
      </c>
      <c r="S61" s="23">
        <f t="shared" si="4"/>
        <v>3.1631999999999602E-4</v>
      </c>
      <c r="T61" s="10">
        <f t="shared" si="5"/>
        <v>9.8410666666665439E-3</v>
      </c>
      <c r="U61" s="12">
        <v>13</v>
      </c>
      <c r="V61" s="10">
        <f>J61/U61</f>
        <v>2.7035897435897103E-2</v>
      </c>
      <c r="W61" s="29">
        <f>S61/U61</f>
        <v>2.4332307692307387E-5</v>
      </c>
      <c r="X61" s="29">
        <f>T61/U61</f>
        <v>7.5700512820511877E-4</v>
      </c>
    </row>
    <row r="62" spans="1:24" x14ac:dyDescent="0.25">
      <c r="A62" s="17">
        <v>2</v>
      </c>
      <c r="B62" s="17">
        <v>2</v>
      </c>
      <c r="C62" s="17">
        <v>2</v>
      </c>
      <c r="D62" s="17">
        <v>1</v>
      </c>
      <c r="E62" s="12" t="s">
        <v>24</v>
      </c>
      <c r="F62" s="27">
        <v>94.5</v>
      </c>
      <c r="G62" s="28">
        <v>17.745699999999999</v>
      </c>
      <c r="H62" s="7">
        <v>0.98280000000000101</v>
      </c>
      <c r="I62" s="23">
        <f t="shared" si="0"/>
        <v>5.2416000000000051E-4</v>
      </c>
      <c r="J62" s="23">
        <f t="shared" si="1"/>
        <v>5.2416000000000054</v>
      </c>
      <c r="K62" s="11">
        <v>9</v>
      </c>
      <c r="L62" s="11">
        <v>0.5</v>
      </c>
      <c r="M62" s="11">
        <v>1.24</v>
      </c>
      <c r="N62" s="11">
        <v>7.0000000000000007E-2</v>
      </c>
      <c r="O62" s="11">
        <v>12.4</v>
      </c>
      <c r="P62" s="11">
        <v>0.69</v>
      </c>
      <c r="Q62" s="25">
        <f>((M62/100)*H62)/1875</f>
        <v>6.4995840000000068E-6</v>
      </c>
      <c r="R62" s="24">
        <f>((K62/100)*H62)/1875</f>
        <v>4.7174400000000048E-5</v>
      </c>
      <c r="S62" s="23">
        <f t="shared" si="4"/>
        <v>6.4995840000000069E-2</v>
      </c>
      <c r="T62" s="10">
        <f t="shared" si="5"/>
        <v>0.4717440000000005</v>
      </c>
      <c r="U62" s="12">
        <v>32</v>
      </c>
      <c r="V62" s="10">
        <f>J62/U62</f>
        <v>0.16380000000000017</v>
      </c>
      <c r="W62" s="29">
        <f>S62/U62</f>
        <v>2.0311200000000021E-3</v>
      </c>
      <c r="X62" s="29">
        <f>T62/U62</f>
        <v>1.4742000000000016E-2</v>
      </c>
    </row>
    <row r="63" spans="1:24" x14ac:dyDescent="0.25">
      <c r="A63" s="17">
        <v>2</v>
      </c>
      <c r="B63" s="17">
        <v>2</v>
      </c>
      <c r="C63" s="17">
        <v>2</v>
      </c>
      <c r="D63" s="17">
        <v>1</v>
      </c>
      <c r="E63" s="12" t="s">
        <v>25</v>
      </c>
      <c r="F63" s="27">
        <v>94.9</v>
      </c>
      <c r="G63" s="28">
        <v>18.677299999999999</v>
      </c>
      <c r="H63" s="7">
        <v>0.96180000000000021</v>
      </c>
      <c r="I63" s="23">
        <f t="shared" si="0"/>
        <v>5.1296000000000013E-4</v>
      </c>
      <c r="J63" s="23">
        <f t="shared" si="1"/>
        <v>5.1296000000000017</v>
      </c>
      <c r="K63" s="11">
        <v>8.4</v>
      </c>
      <c r="L63" s="11">
        <v>0.4</v>
      </c>
      <c r="M63" s="11">
        <v>1.03</v>
      </c>
      <c r="N63" s="11">
        <v>0.05</v>
      </c>
      <c r="O63" s="11">
        <v>10.3</v>
      </c>
      <c r="P63" s="11">
        <v>0.53</v>
      </c>
      <c r="Q63" s="25">
        <f>((M63/100)*H63)/1875</f>
        <v>5.2834880000000008E-6</v>
      </c>
      <c r="R63" s="24">
        <f>((K63/100)*H63)/1875</f>
        <v>4.3088640000000009E-5</v>
      </c>
      <c r="S63" s="23">
        <f t="shared" si="4"/>
        <v>5.2834880000000008E-2</v>
      </c>
      <c r="T63" s="10">
        <f t="shared" si="5"/>
        <v>0.43088640000000011</v>
      </c>
      <c r="U63" s="12">
        <v>32</v>
      </c>
      <c r="V63" s="10">
        <f>J63/U63</f>
        <v>0.16030000000000005</v>
      </c>
      <c r="W63" s="29">
        <f>S63/U63</f>
        <v>1.6510900000000002E-3</v>
      </c>
      <c r="X63" s="29">
        <f>T63/U63</f>
        <v>1.3465200000000004E-2</v>
      </c>
    </row>
    <row r="64" spans="1:24" x14ac:dyDescent="0.25">
      <c r="A64" s="17">
        <v>2</v>
      </c>
      <c r="B64" s="17">
        <v>2</v>
      </c>
      <c r="C64" s="17">
        <v>2</v>
      </c>
      <c r="D64" s="17">
        <v>1</v>
      </c>
      <c r="E64" s="12" t="s">
        <v>26</v>
      </c>
      <c r="F64" s="27">
        <v>94</v>
      </c>
      <c r="G64" s="28">
        <v>14.8309</v>
      </c>
      <c r="H64" s="7">
        <v>0.88379999999999903</v>
      </c>
      <c r="I64" s="23">
        <f t="shared" si="0"/>
        <v>4.713599999999995E-4</v>
      </c>
      <c r="J64" s="23">
        <f t="shared" si="1"/>
        <v>4.7135999999999951</v>
      </c>
      <c r="K64" s="11">
        <v>11.1</v>
      </c>
      <c r="L64" s="11">
        <v>0.7</v>
      </c>
      <c r="M64" s="11">
        <v>1.33</v>
      </c>
      <c r="N64" s="11">
        <v>0.08</v>
      </c>
      <c r="O64" s="11">
        <v>13.3</v>
      </c>
      <c r="P64" s="11">
        <v>0.79</v>
      </c>
      <c r="Q64" s="25">
        <f>((M64/100)*H64)/1875</f>
        <v>6.2690879999999936E-6</v>
      </c>
      <c r="R64" s="24">
        <f>((K64/100)*H64)/1875</f>
        <v>5.2320959999999946E-5</v>
      </c>
      <c r="S64" s="23">
        <f t="shared" si="4"/>
        <v>6.2690879999999935E-2</v>
      </c>
      <c r="T64" s="10">
        <f t="shared" si="5"/>
        <v>0.5232095999999995</v>
      </c>
      <c r="U64" s="12">
        <v>32</v>
      </c>
      <c r="V64" s="10">
        <f>J64/U64</f>
        <v>0.14729999999999985</v>
      </c>
      <c r="W64" s="29">
        <f>S64/U64</f>
        <v>1.959089999999998E-3</v>
      </c>
      <c r="X64" s="29">
        <f>T64/U64</f>
        <v>1.6350299999999984E-2</v>
      </c>
    </row>
    <row r="65" spans="1:24" x14ac:dyDescent="0.25">
      <c r="A65" s="17">
        <v>2</v>
      </c>
      <c r="B65" s="17">
        <v>2</v>
      </c>
      <c r="C65" s="17">
        <v>2</v>
      </c>
      <c r="D65" s="17">
        <v>2</v>
      </c>
      <c r="E65" s="12" t="s">
        <v>24</v>
      </c>
      <c r="F65" s="27">
        <v>93.5</v>
      </c>
      <c r="G65" s="28">
        <v>23.0779</v>
      </c>
      <c r="H65" s="7">
        <v>1.4940999999999995</v>
      </c>
      <c r="I65" s="23">
        <f t="shared" si="0"/>
        <v>7.9685333333333309E-4</v>
      </c>
      <c r="J65" s="23">
        <f t="shared" si="1"/>
        <v>7.9685333333333306</v>
      </c>
      <c r="K65" s="11">
        <v>9.9</v>
      </c>
      <c r="L65" s="11">
        <v>0.6</v>
      </c>
      <c r="M65" s="11">
        <v>1.59</v>
      </c>
      <c r="N65" s="11">
        <v>0.1</v>
      </c>
      <c r="O65" s="11">
        <v>15.9</v>
      </c>
      <c r="P65" s="11">
        <v>1.03</v>
      </c>
      <c r="Q65" s="25">
        <f>((M65/100)*H65)/1875</f>
        <v>1.2669967999999996E-5</v>
      </c>
      <c r="R65" s="24">
        <f>((K65/100)*H65)/1875</f>
        <v>7.8888479999999974E-5</v>
      </c>
      <c r="S65" s="23">
        <f t="shared" si="4"/>
        <v>0.12669967999999995</v>
      </c>
      <c r="T65" s="10">
        <f t="shared" si="5"/>
        <v>0.78888479999999972</v>
      </c>
      <c r="U65" s="12">
        <v>32</v>
      </c>
      <c r="V65" s="10">
        <f>J65/U65</f>
        <v>0.24901666666666658</v>
      </c>
      <c r="W65" s="29">
        <f>S65/U65</f>
        <v>3.9593649999999985E-3</v>
      </c>
      <c r="X65" s="29">
        <f>T65/U65</f>
        <v>2.4652649999999991E-2</v>
      </c>
    </row>
    <row r="66" spans="1:24" x14ac:dyDescent="0.25">
      <c r="A66" s="17">
        <v>2</v>
      </c>
      <c r="B66" s="17">
        <v>2</v>
      </c>
      <c r="C66" s="17">
        <v>2</v>
      </c>
      <c r="D66" s="17">
        <v>2</v>
      </c>
      <c r="E66" s="12" t="s">
        <v>25</v>
      </c>
      <c r="F66" s="27">
        <v>93</v>
      </c>
      <c r="G66" s="28">
        <v>17.725200000000001</v>
      </c>
      <c r="H66" s="7">
        <v>1.2419999999999991</v>
      </c>
      <c r="I66" s="23">
        <f t="shared" si="0"/>
        <v>6.6239999999999951E-4</v>
      </c>
      <c r="J66" s="23">
        <f t="shared" si="1"/>
        <v>6.6239999999999952</v>
      </c>
      <c r="K66" s="11">
        <v>10.6</v>
      </c>
      <c r="L66" s="11">
        <v>0.7</v>
      </c>
      <c r="M66" s="11">
        <v>1.91</v>
      </c>
      <c r="N66" s="11">
        <v>0.13</v>
      </c>
      <c r="O66" s="11">
        <v>19.100000000000001</v>
      </c>
      <c r="P66" s="11">
        <v>1.34</v>
      </c>
      <c r="Q66" s="25">
        <f>((M66/100)*H66)/1875</f>
        <v>1.2651839999999991E-5</v>
      </c>
      <c r="R66" s="24">
        <f>((K66/100)*H66)/1875</f>
        <v>7.0214399999999949E-5</v>
      </c>
      <c r="S66" s="23">
        <f t="shared" ref="S66:S73" si="6">Q66*10000</f>
        <v>0.12651839999999992</v>
      </c>
      <c r="T66" s="10">
        <f t="shared" ref="T66:T73" si="7">R66*10000</f>
        <v>0.70214399999999944</v>
      </c>
      <c r="U66" s="12">
        <v>32</v>
      </c>
      <c r="V66" s="10">
        <f>J66/U66</f>
        <v>0.20699999999999985</v>
      </c>
      <c r="W66" s="29">
        <f>S66/U66</f>
        <v>3.9536999999999975E-3</v>
      </c>
      <c r="X66" s="29">
        <f>T66/U66</f>
        <v>2.1941999999999982E-2</v>
      </c>
    </row>
    <row r="67" spans="1:24" x14ac:dyDescent="0.25">
      <c r="A67" s="17">
        <v>2</v>
      </c>
      <c r="B67" s="17">
        <v>2</v>
      </c>
      <c r="C67" s="17">
        <v>2</v>
      </c>
      <c r="D67" s="17">
        <v>2</v>
      </c>
      <c r="E67" s="12" t="s">
        <v>26</v>
      </c>
      <c r="F67" s="27">
        <v>94.6</v>
      </c>
      <c r="G67" s="28">
        <v>20.823</v>
      </c>
      <c r="H67" s="7">
        <v>1.1323000000000008</v>
      </c>
      <c r="I67" s="23">
        <f t="shared" ref="I67:I73" si="8">H67/1875</f>
        <v>6.0389333333333369E-4</v>
      </c>
      <c r="J67" s="23">
        <f t="shared" ref="J67:J73" si="9">I67*10000</f>
        <v>6.038933333333337</v>
      </c>
      <c r="K67" s="11">
        <v>10.199999999999999</v>
      </c>
      <c r="L67" s="11">
        <v>0.6</v>
      </c>
      <c r="M67" s="11">
        <v>1.84</v>
      </c>
      <c r="N67" s="11">
        <v>0.1</v>
      </c>
      <c r="O67" s="11">
        <v>18.399999999999999</v>
      </c>
      <c r="P67" s="11">
        <v>1</v>
      </c>
      <c r="Q67" s="25">
        <f>((M67/100)*H67)/1875</f>
        <v>1.111163733333334E-5</v>
      </c>
      <c r="R67" s="24">
        <f>((K67/100)*H67)/1875</f>
        <v>6.1597120000000035E-5</v>
      </c>
      <c r="S67" s="23">
        <f t="shared" si="6"/>
        <v>0.11111637333333339</v>
      </c>
      <c r="T67" s="10">
        <f t="shared" si="7"/>
        <v>0.61597120000000039</v>
      </c>
      <c r="U67" s="12">
        <v>32</v>
      </c>
      <c r="V67" s="10">
        <f>J67/U67</f>
        <v>0.18871666666666678</v>
      </c>
      <c r="W67" s="29">
        <f>S67/U67</f>
        <v>3.4723866666666685E-3</v>
      </c>
      <c r="X67" s="29">
        <f>T67/U67</f>
        <v>1.9249100000000012E-2</v>
      </c>
    </row>
    <row r="68" spans="1:24" x14ac:dyDescent="0.25">
      <c r="A68" s="17">
        <v>2</v>
      </c>
      <c r="B68" s="17">
        <v>2</v>
      </c>
      <c r="C68" s="17">
        <v>3</v>
      </c>
      <c r="D68" s="17">
        <v>1</v>
      </c>
      <c r="E68" s="12" t="s">
        <v>24</v>
      </c>
      <c r="F68" s="27">
        <v>92.9</v>
      </c>
      <c r="G68" s="28">
        <v>20.618500000000001</v>
      </c>
      <c r="H68" s="7">
        <v>1.4635999999999996</v>
      </c>
      <c r="I68" s="23">
        <f t="shared" si="8"/>
        <v>7.8058666666666642E-4</v>
      </c>
      <c r="J68" s="23">
        <f t="shared" si="9"/>
        <v>7.8058666666666641</v>
      </c>
      <c r="K68" s="11">
        <v>8.6999999999999993</v>
      </c>
      <c r="L68" s="11">
        <v>0.6</v>
      </c>
      <c r="M68" s="11">
        <v>1.91</v>
      </c>
      <c r="N68" s="11">
        <v>0.14000000000000001</v>
      </c>
      <c r="O68" s="11">
        <v>19.100000000000001</v>
      </c>
      <c r="P68" s="11">
        <v>1.36</v>
      </c>
      <c r="Q68" s="25">
        <f>((M68/100)*H68)/1875</f>
        <v>1.490920533333333E-5</v>
      </c>
      <c r="R68" s="24">
        <f>((K68/100)*H68)/1875</f>
        <v>6.791103999999997E-5</v>
      </c>
      <c r="S68" s="23">
        <f t="shared" si="6"/>
        <v>0.14909205333333331</v>
      </c>
      <c r="T68" s="10">
        <f t="shared" si="7"/>
        <v>0.67911039999999967</v>
      </c>
      <c r="U68" s="12">
        <v>54</v>
      </c>
      <c r="V68" s="10">
        <f>J68/U68</f>
        <v>0.14455308641975304</v>
      </c>
      <c r="W68" s="29">
        <f>S68/U68</f>
        <v>2.7609639506172836E-3</v>
      </c>
      <c r="X68" s="29">
        <f>T68/U68</f>
        <v>1.2576118518518512E-2</v>
      </c>
    </row>
    <row r="69" spans="1:24" x14ac:dyDescent="0.25">
      <c r="A69" s="17">
        <v>2</v>
      </c>
      <c r="B69" s="17">
        <v>2</v>
      </c>
      <c r="C69" s="17">
        <v>3</v>
      </c>
      <c r="D69" s="17">
        <v>1</v>
      </c>
      <c r="E69" s="12" t="s">
        <v>25</v>
      </c>
      <c r="F69" s="27">
        <v>93.7</v>
      </c>
      <c r="G69" s="28">
        <v>30.402999999999999</v>
      </c>
      <c r="H69" s="7">
        <v>1.9176000000000002</v>
      </c>
      <c r="I69" s="23">
        <f t="shared" si="8"/>
        <v>1.0227200000000002E-3</v>
      </c>
      <c r="J69" s="23">
        <f t="shared" si="9"/>
        <v>10.227200000000002</v>
      </c>
      <c r="K69" s="11">
        <v>9.6999999999999993</v>
      </c>
      <c r="L69" s="11">
        <v>0.6</v>
      </c>
      <c r="M69" s="11">
        <v>1.88</v>
      </c>
      <c r="N69" s="11">
        <v>0.12</v>
      </c>
      <c r="O69" s="11">
        <v>18.8</v>
      </c>
      <c r="P69" s="11">
        <v>1.18</v>
      </c>
      <c r="Q69" s="25">
        <f>((M69/100)*H69)/1875</f>
        <v>1.9227135999999999E-5</v>
      </c>
      <c r="R69" s="24">
        <f>((K69/100)*H69)/1875</f>
        <v>9.920384000000001E-5</v>
      </c>
      <c r="S69" s="23">
        <f t="shared" si="6"/>
        <v>0.19227136</v>
      </c>
      <c r="T69" s="10">
        <f t="shared" si="7"/>
        <v>0.9920384000000001</v>
      </c>
      <c r="U69" s="12">
        <v>54</v>
      </c>
      <c r="V69" s="10">
        <f>J69/U69</f>
        <v>0.18939259259259261</v>
      </c>
      <c r="W69" s="29">
        <f>S69/U69</f>
        <v>3.5605807407407407E-3</v>
      </c>
      <c r="X69" s="29">
        <f>T69/U69</f>
        <v>1.8371081481481484E-2</v>
      </c>
    </row>
    <row r="70" spans="1:24" x14ac:dyDescent="0.25">
      <c r="A70" s="17">
        <v>2</v>
      </c>
      <c r="B70" s="17">
        <v>2</v>
      </c>
      <c r="C70" s="17">
        <v>3</v>
      </c>
      <c r="D70" s="17">
        <v>1</v>
      </c>
      <c r="E70" s="12" t="s">
        <v>26</v>
      </c>
      <c r="F70" s="27">
        <v>96.4</v>
      </c>
      <c r="G70" s="28">
        <v>38.634599999999999</v>
      </c>
      <c r="H70" s="7">
        <v>1.3943000000000012</v>
      </c>
      <c r="I70" s="23">
        <f t="shared" si="8"/>
        <v>7.4362666666666734E-4</v>
      </c>
      <c r="J70" s="23">
        <f t="shared" si="9"/>
        <v>7.4362666666666737</v>
      </c>
      <c r="K70" s="11">
        <v>6.4</v>
      </c>
      <c r="L70" s="11">
        <v>0.2</v>
      </c>
      <c r="M70" s="11">
        <v>1.17</v>
      </c>
      <c r="N70" s="11">
        <v>0.04</v>
      </c>
      <c r="O70" s="11">
        <v>11.7</v>
      </c>
      <c r="P70" s="11">
        <v>0.42</v>
      </c>
      <c r="Q70" s="25">
        <f>((M70/100)*H70)/1875</f>
        <v>8.7004320000000066E-6</v>
      </c>
      <c r="R70" s="24">
        <f>((K70/100)*H70)/1875</f>
        <v>4.7592106666666711E-5</v>
      </c>
      <c r="S70" s="23">
        <f t="shared" si="6"/>
        <v>8.7004320000000065E-2</v>
      </c>
      <c r="T70" s="10">
        <f t="shared" si="7"/>
        <v>0.47592106666666711</v>
      </c>
      <c r="U70" s="12">
        <v>54</v>
      </c>
      <c r="V70" s="10">
        <f>J70/U70</f>
        <v>0.13770864197530877</v>
      </c>
      <c r="W70" s="29">
        <f>S70/U70</f>
        <v>1.6111911111111124E-3</v>
      </c>
      <c r="X70" s="29">
        <f>T70/U70</f>
        <v>8.8133530864197614E-3</v>
      </c>
    </row>
    <row r="71" spans="1:24" x14ac:dyDescent="0.25">
      <c r="A71" s="17">
        <v>2</v>
      </c>
      <c r="B71" s="17">
        <v>2</v>
      </c>
      <c r="C71" s="17">
        <v>3</v>
      </c>
      <c r="D71" s="17">
        <v>2</v>
      </c>
      <c r="E71" s="12" t="s">
        <v>24</v>
      </c>
      <c r="F71" s="27">
        <v>94.6</v>
      </c>
      <c r="G71" s="28">
        <v>26.4238</v>
      </c>
      <c r="H71" s="7">
        <v>1.4367999999999999</v>
      </c>
      <c r="I71" s="23">
        <f t="shared" si="8"/>
        <v>7.662933333333333E-4</v>
      </c>
      <c r="J71" s="23">
        <f t="shared" si="9"/>
        <v>7.6629333333333332</v>
      </c>
      <c r="K71" s="11">
        <v>9</v>
      </c>
      <c r="L71" s="11">
        <v>0.5</v>
      </c>
      <c r="M71" s="11">
        <v>1.51</v>
      </c>
      <c r="N71" s="11">
        <v>0.08</v>
      </c>
      <c r="O71" s="11">
        <v>15.1</v>
      </c>
      <c r="P71" s="11">
        <v>0.82</v>
      </c>
      <c r="Q71" s="25">
        <f>((M71/100)*H71)/1875</f>
        <v>1.1571029333333332E-5</v>
      </c>
      <c r="R71" s="24">
        <f>((K71/100)*H71)/1875</f>
        <v>6.8966399999999991E-5</v>
      </c>
      <c r="S71" s="23">
        <f t="shared" si="6"/>
        <v>0.11571029333333333</v>
      </c>
      <c r="T71" s="10">
        <f t="shared" si="7"/>
        <v>0.68966399999999994</v>
      </c>
      <c r="U71" s="12">
        <v>54</v>
      </c>
      <c r="V71" s="10">
        <f>J71/U71</f>
        <v>0.14190617283950616</v>
      </c>
      <c r="W71" s="29">
        <f>S71/U71</f>
        <v>2.1427832098765429E-3</v>
      </c>
      <c r="X71" s="29">
        <f>T71/U71</f>
        <v>1.2771555555555555E-2</v>
      </c>
    </row>
    <row r="72" spans="1:24" x14ac:dyDescent="0.25">
      <c r="A72" s="17">
        <v>2</v>
      </c>
      <c r="B72" s="17">
        <v>2</v>
      </c>
      <c r="C72" s="17">
        <v>3</v>
      </c>
      <c r="D72" s="17">
        <v>2</v>
      </c>
      <c r="E72" s="12" t="s">
        <v>25</v>
      </c>
      <c r="F72" s="27">
        <v>94.7</v>
      </c>
      <c r="G72" s="28">
        <v>25.8704</v>
      </c>
      <c r="H72" s="7">
        <v>1.3716999999999988</v>
      </c>
      <c r="I72" s="23">
        <f t="shared" si="8"/>
        <v>7.3157333333333273E-4</v>
      </c>
      <c r="J72" s="23">
        <f t="shared" si="9"/>
        <v>7.315733333333327</v>
      </c>
      <c r="K72" s="11">
        <v>9.6</v>
      </c>
      <c r="L72" s="11">
        <v>0.5</v>
      </c>
      <c r="M72" s="11">
        <v>1.55</v>
      </c>
      <c r="N72" s="11">
        <v>0.08</v>
      </c>
      <c r="O72" s="11">
        <v>15.5</v>
      </c>
      <c r="P72" s="11">
        <v>0.82</v>
      </c>
      <c r="Q72" s="25">
        <f>((M72/100)*H72)/1875</f>
        <v>1.1339386666666656E-5</v>
      </c>
      <c r="R72" s="24">
        <f>((K72/100)*H72)/1875</f>
        <v>7.0231039999999948E-5</v>
      </c>
      <c r="S72" s="23">
        <f t="shared" si="6"/>
        <v>0.11339386666666657</v>
      </c>
      <c r="T72" s="10">
        <f t="shared" si="7"/>
        <v>0.70231039999999945</v>
      </c>
      <c r="U72" s="12">
        <v>54</v>
      </c>
      <c r="V72" s="10">
        <f>J72/U72</f>
        <v>0.13547654320987643</v>
      </c>
      <c r="W72" s="29">
        <f>S72/U72</f>
        <v>2.0998864197530847E-3</v>
      </c>
      <c r="X72" s="29">
        <f>T72/U72</f>
        <v>1.3005748148148137E-2</v>
      </c>
    </row>
    <row r="73" spans="1:24" x14ac:dyDescent="0.25">
      <c r="A73" s="17">
        <v>2</v>
      </c>
      <c r="B73" s="17">
        <v>2</v>
      </c>
      <c r="C73" s="17">
        <v>3</v>
      </c>
      <c r="D73" s="17">
        <v>2</v>
      </c>
      <c r="E73" s="12" t="s">
        <v>26</v>
      </c>
      <c r="F73" s="27">
        <v>94.4</v>
      </c>
      <c r="G73" s="28">
        <v>23.2026</v>
      </c>
      <c r="H73" s="7">
        <v>1.2914999999999992</v>
      </c>
      <c r="I73" s="23">
        <f t="shared" si="8"/>
        <v>6.8879999999999961E-4</v>
      </c>
      <c r="J73" s="23">
        <f t="shared" si="9"/>
        <v>6.8879999999999963</v>
      </c>
      <c r="K73" s="11">
        <v>9.1</v>
      </c>
      <c r="L73" s="11">
        <v>0.5</v>
      </c>
      <c r="M73" s="11">
        <v>1.6</v>
      </c>
      <c r="N73" s="11">
        <v>0.09</v>
      </c>
      <c r="O73" s="11">
        <v>16</v>
      </c>
      <c r="P73" s="11">
        <v>0.89</v>
      </c>
      <c r="Q73" s="25">
        <f>((M73/100)*H73)/1875</f>
        <v>1.1020799999999993E-5</v>
      </c>
      <c r="R73" s="24">
        <f>((K73/100)*H73)/1875</f>
        <v>6.2680799999999964E-5</v>
      </c>
      <c r="S73" s="23">
        <f t="shared" si="6"/>
        <v>0.11020799999999993</v>
      </c>
      <c r="T73" s="10">
        <f t="shared" si="7"/>
        <v>0.62680799999999959</v>
      </c>
      <c r="U73" s="12">
        <v>54</v>
      </c>
      <c r="V73" s="10">
        <f>J73/U73</f>
        <v>0.12755555555555548</v>
      </c>
      <c r="W73" s="29">
        <f>S73/U73</f>
        <v>2.0408888888888877E-3</v>
      </c>
      <c r="X73" s="29">
        <f>T73/U73</f>
        <v>1.1607555555555548E-2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577D-BACA-4D09-9036-FBB4F9DBDFD6}">
  <dimension ref="A1:W107"/>
  <sheetViews>
    <sheetView topLeftCell="A16" workbookViewId="0">
      <selection activeCell="K45" sqref="K45"/>
    </sheetView>
  </sheetViews>
  <sheetFormatPr defaultRowHeight="15" x14ac:dyDescent="0.25"/>
  <cols>
    <col min="1" max="4" width="12.28515625" style="1" customWidth="1"/>
    <col min="7" max="7" width="10.5703125" bestFit="1" customWidth="1"/>
    <col min="9" max="9" width="40" bestFit="1" customWidth="1"/>
    <col min="13" max="13" width="13.140625" bestFit="1" customWidth="1"/>
  </cols>
  <sheetData>
    <row r="1" spans="1:23" x14ac:dyDescent="0.25">
      <c r="A1" s="3"/>
      <c r="B1" s="3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6"/>
      <c r="B2" s="6"/>
      <c r="C2" s="18"/>
      <c r="D2" s="6"/>
      <c r="E2" s="4" t="s">
        <v>0</v>
      </c>
      <c r="F2" s="4" t="s">
        <v>27</v>
      </c>
      <c r="G2" t="s">
        <v>28</v>
      </c>
      <c r="I2" t="s">
        <v>29</v>
      </c>
      <c r="M2">
        <f>37.5*50</f>
        <v>1875</v>
      </c>
    </row>
    <row r="3" spans="1:23" x14ac:dyDescent="0.25">
      <c r="A3" s="6"/>
      <c r="B3" s="6"/>
      <c r="C3" s="18"/>
      <c r="D3" s="6"/>
      <c r="G3" t="s">
        <v>30</v>
      </c>
    </row>
    <row r="4" spans="1:23" x14ac:dyDescent="0.25">
      <c r="A4" s="6"/>
      <c r="B4" s="6"/>
      <c r="C4" s="6"/>
      <c r="D4" s="6"/>
    </row>
    <row r="5" spans="1:23" x14ac:dyDescent="0.25">
      <c r="A5" s="6"/>
      <c r="B5" s="6"/>
      <c r="C5" s="6"/>
      <c r="D5" s="6"/>
      <c r="E5" s="4" t="s">
        <v>2</v>
      </c>
      <c r="F5" s="4" t="s">
        <v>27</v>
      </c>
      <c r="G5" t="s">
        <v>31</v>
      </c>
    </row>
    <row r="6" spans="1:23" x14ac:dyDescent="0.25">
      <c r="A6" s="6"/>
      <c r="B6" s="6"/>
      <c r="C6" s="6"/>
      <c r="D6" s="6"/>
      <c r="G6" t="s">
        <v>32</v>
      </c>
    </row>
    <row r="7" spans="1:23" x14ac:dyDescent="0.25">
      <c r="A7" s="6"/>
      <c r="B7" s="6"/>
      <c r="C7" s="6"/>
      <c r="D7" s="6"/>
      <c r="G7" t="s">
        <v>33</v>
      </c>
    </row>
    <row r="8" spans="1:23" x14ac:dyDescent="0.25">
      <c r="A8" s="6"/>
      <c r="B8" s="6"/>
      <c r="C8" s="6"/>
      <c r="D8" s="6"/>
    </row>
    <row r="9" spans="1:23" x14ac:dyDescent="0.25">
      <c r="A9" s="6"/>
      <c r="B9" s="6"/>
      <c r="C9" s="6"/>
      <c r="D9" s="6"/>
      <c r="E9" s="4" t="s">
        <v>3</v>
      </c>
      <c r="F9" s="4" t="s">
        <v>34</v>
      </c>
      <c r="G9" t="s">
        <v>35</v>
      </c>
    </row>
    <row r="10" spans="1:23" x14ac:dyDescent="0.25">
      <c r="A10" s="6"/>
      <c r="B10" s="6"/>
      <c r="C10" s="6"/>
      <c r="D10" s="6"/>
      <c r="G10" t="s">
        <v>36</v>
      </c>
    </row>
    <row r="11" spans="1:23" x14ac:dyDescent="0.25">
      <c r="A11" s="6"/>
      <c r="B11" s="6"/>
      <c r="C11" s="6"/>
      <c r="D11" s="6"/>
    </row>
    <row r="12" spans="1:23" x14ac:dyDescent="0.25">
      <c r="A12" s="6"/>
      <c r="B12" s="6"/>
      <c r="C12" s="6"/>
      <c r="D12" s="6"/>
      <c r="I12" s="8" t="s">
        <v>7</v>
      </c>
    </row>
    <row r="13" spans="1:23" x14ac:dyDescent="0.25">
      <c r="A13" s="6"/>
      <c r="B13" s="6"/>
      <c r="C13" s="6"/>
      <c r="D13" s="6"/>
      <c r="I13" s="4" t="s">
        <v>0</v>
      </c>
      <c r="J13" s="4" t="s">
        <v>37</v>
      </c>
      <c r="K13" s="4" t="s">
        <v>38</v>
      </c>
      <c r="L13" s="4" t="s">
        <v>39</v>
      </c>
    </row>
    <row r="14" spans="1:23" x14ac:dyDescent="0.25">
      <c r="A14" s="6"/>
      <c r="B14" s="6"/>
      <c r="C14" s="6"/>
      <c r="D14" s="6"/>
      <c r="I14" t="s">
        <v>40</v>
      </c>
      <c r="J14">
        <v>13</v>
      </c>
      <c r="K14" s="5">
        <f>AVERAGE(Sheet1!$H$2:$H$7,Sheet1!$H$20:$H$25)</f>
        <v>0.8298333333333332</v>
      </c>
      <c r="L14" s="5">
        <f>STDEV(Sheet1!$H$2:$H$7,Sheet1!$H$20:$H$25)/SQRT(6)</f>
        <v>8.5092276709202844E-2</v>
      </c>
    </row>
    <row r="15" spans="1:23" x14ac:dyDescent="0.25">
      <c r="A15" s="6"/>
      <c r="B15" s="6"/>
      <c r="C15" s="6"/>
      <c r="D15" s="6"/>
      <c r="I15" t="s">
        <v>40</v>
      </c>
      <c r="J15">
        <v>32</v>
      </c>
      <c r="K15" s="5">
        <f>AVERAGE(Sheet1!$H$8:$H$13,Sheet1!$H$26:$H$31)</f>
        <v>3.5931833333333336</v>
      </c>
      <c r="L15" s="5">
        <f>STDEV(Sheet1!$H$8:$H$13,Sheet1!$H$26:$H$31)/SQRT(6)</f>
        <v>0.28794309456396133</v>
      </c>
    </row>
    <row r="16" spans="1:23" x14ac:dyDescent="0.25">
      <c r="A16" s="6"/>
      <c r="B16" s="6"/>
      <c r="C16" s="6"/>
      <c r="D16" s="6"/>
      <c r="I16" t="s">
        <v>40</v>
      </c>
      <c r="J16">
        <v>54</v>
      </c>
      <c r="K16" s="5">
        <f>AVERAGE(Sheet1!$H$14:$H$19,Sheet1!$H$32:$H$37)</f>
        <v>15.348566666666665</v>
      </c>
      <c r="L16" s="5">
        <f>STDEV(Sheet1!$H$14:$H$19,Sheet1!$H$32:$H$37)/SQRT(6)</f>
        <v>1.4893378533137225</v>
      </c>
    </row>
    <row r="17" spans="1:12" x14ac:dyDescent="0.25">
      <c r="A17" s="6"/>
      <c r="B17" s="6"/>
      <c r="C17" s="6"/>
      <c r="D17" s="6"/>
      <c r="I17" t="s">
        <v>41</v>
      </c>
      <c r="J17">
        <v>13</v>
      </c>
      <c r="K17" s="5">
        <f>AVERAGE(Sheet1!$H$38:$H$43,Sheet1!$H$56:$H$61)</f>
        <v>0.13962499999999967</v>
      </c>
      <c r="L17" s="5">
        <f>STDEV(Sheet1!$H$38:$H$43,Sheet1!$H$56:$H$61)/SQRT(6)</f>
        <v>1.8465759673055186E-2</v>
      </c>
    </row>
    <row r="18" spans="1:12" x14ac:dyDescent="0.25">
      <c r="A18" s="6"/>
      <c r="B18" s="6"/>
      <c r="C18" s="6"/>
      <c r="D18" s="6"/>
      <c r="I18" t="s">
        <v>41</v>
      </c>
      <c r="J18">
        <v>32</v>
      </c>
      <c r="K18" s="5">
        <f>AVERAGE(Sheet1!$H$44:$H$49,Sheet1!$H$62:$H$67)</f>
        <v>1.0521083333333334</v>
      </c>
      <c r="L18" s="5">
        <f>STDEV(Sheet1!$H$44:$H$49,Sheet1!$H$62:$H$67)/SQRT(6)</f>
        <v>7.4268561516956891E-2</v>
      </c>
    </row>
    <row r="19" spans="1:12" x14ac:dyDescent="0.25">
      <c r="A19" s="6"/>
      <c r="B19" s="6"/>
      <c r="C19" s="6"/>
      <c r="D19" s="6"/>
      <c r="I19" t="s">
        <v>41</v>
      </c>
      <c r="J19">
        <v>54</v>
      </c>
      <c r="K19" s="5">
        <f>AVERAGE(Sheet1!$H$50:$H$55,Sheet1!$H$68:$H$73)</f>
        <v>1.5005083333333331</v>
      </c>
      <c r="L19" s="5">
        <f>STDEV(Sheet1!$H$50:$H$55,Sheet1!$H$68:$H$73)/SQRT(6)</f>
        <v>7.4669787120267089E-2</v>
      </c>
    </row>
    <row r="20" spans="1:12" x14ac:dyDescent="0.25">
      <c r="A20" s="6"/>
      <c r="B20" s="6"/>
      <c r="C20" s="6"/>
      <c r="D20" s="6"/>
    </row>
    <row r="21" spans="1:12" x14ac:dyDescent="0.25">
      <c r="A21" s="6"/>
      <c r="B21" s="6"/>
      <c r="C21" s="6"/>
      <c r="D21" s="6"/>
    </row>
    <row r="22" spans="1:12" x14ac:dyDescent="0.25">
      <c r="A22" s="6"/>
      <c r="B22" s="6"/>
      <c r="C22" s="6"/>
      <c r="D22" s="6"/>
    </row>
    <row r="23" spans="1:12" x14ac:dyDescent="0.25">
      <c r="A23" s="6"/>
      <c r="B23" s="6"/>
      <c r="C23" s="6"/>
      <c r="D23" s="6"/>
    </row>
    <row r="24" spans="1:12" x14ac:dyDescent="0.25">
      <c r="A24" s="6"/>
      <c r="B24" s="6"/>
      <c r="C24" s="6"/>
      <c r="D24" s="6"/>
    </row>
    <row r="25" spans="1:12" x14ac:dyDescent="0.25">
      <c r="A25" s="6"/>
      <c r="B25" s="6"/>
      <c r="C25" s="6"/>
      <c r="D25" s="6"/>
    </row>
    <row r="26" spans="1:12" x14ac:dyDescent="0.25">
      <c r="A26" s="6"/>
      <c r="B26" s="6"/>
      <c r="C26" s="6"/>
      <c r="D26" s="6"/>
    </row>
    <row r="27" spans="1:12" x14ac:dyDescent="0.25">
      <c r="A27" s="6"/>
      <c r="B27" s="6"/>
      <c r="C27" s="6"/>
      <c r="D27" s="6"/>
    </row>
    <row r="28" spans="1:12" x14ac:dyDescent="0.25">
      <c r="A28" s="6"/>
      <c r="B28" s="6"/>
      <c r="C28" s="6"/>
      <c r="D28" s="6"/>
      <c r="I28" s="9" t="s">
        <v>10</v>
      </c>
    </row>
    <row r="29" spans="1:12" x14ac:dyDescent="0.25">
      <c r="A29" s="6"/>
      <c r="B29" s="6"/>
      <c r="C29" s="6"/>
      <c r="D29" s="6"/>
      <c r="I29" s="4" t="s">
        <v>0</v>
      </c>
      <c r="J29" s="4" t="s">
        <v>42</v>
      </c>
      <c r="K29" s="4" t="s">
        <v>38</v>
      </c>
      <c r="L29" s="4" t="s">
        <v>39</v>
      </c>
    </row>
    <row r="30" spans="1:12" x14ac:dyDescent="0.25">
      <c r="A30" s="6"/>
      <c r="B30" s="6"/>
      <c r="C30" s="6"/>
      <c r="D30" s="6"/>
      <c r="I30" t="s">
        <v>40</v>
      </c>
      <c r="J30">
        <v>13</v>
      </c>
      <c r="K30" s="5">
        <f>AVERAGE(Sheet1!$T$2:$T$7,Sheet1!$T$20:$T$25)</f>
        <v>0.22614804444444439</v>
      </c>
      <c r="L30" s="5">
        <f>STDEV(Sheet1!$T$2:$T$7,Sheet1!$T$20:$T$25)/SQRT(6)</f>
        <v>3.4028856450035824E-2</v>
      </c>
    </row>
    <row r="31" spans="1:12" x14ac:dyDescent="0.25">
      <c r="A31" s="6"/>
      <c r="B31" s="6"/>
      <c r="C31" s="6"/>
      <c r="D31" s="6"/>
      <c r="J31">
        <v>32</v>
      </c>
      <c r="K31" s="5">
        <f>AVERAGE(Sheet1!$T$8:$T$13,Sheet1!$T$26:$T$31)</f>
        <v>1.5253443555555555</v>
      </c>
      <c r="L31" s="5">
        <f>STDEV(Sheet1!$T$8:$T$13,Sheet1!$T$26:$T$31)/SQRT(6)</f>
        <v>0.30256400155684332</v>
      </c>
    </row>
    <row r="32" spans="1:12" x14ac:dyDescent="0.25">
      <c r="A32" s="6"/>
      <c r="B32" s="6"/>
      <c r="C32" s="6"/>
      <c r="D32" s="6"/>
      <c r="J32">
        <v>54</v>
      </c>
      <c r="K32" s="5">
        <f>AVERAGE(Sheet1!$T$14:$T$19,Sheet1!$T$32:$T$37)</f>
        <v>12.576782711111113</v>
      </c>
      <c r="L32" s="5">
        <f>STDEV(Sheet1!$T$14:$T$19,Sheet1!$T$32:$T$37)/SQRT(6)</f>
        <v>2.3158445907400638</v>
      </c>
    </row>
    <row r="33" spans="1:12" x14ac:dyDescent="0.25">
      <c r="A33" s="6"/>
      <c r="B33" s="6"/>
      <c r="C33" s="6"/>
      <c r="D33" s="6"/>
      <c r="I33" t="s">
        <v>41</v>
      </c>
      <c r="J33">
        <v>13</v>
      </c>
      <c r="K33" s="5">
        <f>AVERAGE(Sheet1!$T$38:$T$43,Sheet1!$T$56:$T$61)</f>
        <v>1.9523177777777737E-2</v>
      </c>
      <c r="L33" s="5">
        <f>STDEV(Sheet1!$T$38:$T$43,Sheet1!$T$56:$T$61)/SQRT(6)</f>
        <v>4.5846245415057593E-3</v>
      </c>
    </row>
    <row r="34" spans="1:12" x14ac:dyDescent="0.25">
      <c r="A34" s="6"/>
      <c r="B34" s="6"/>
      <c r="C34" s="6"/>
      <c r="D34" s="6"/>
      <c r="J34">
        <v>32</v>
      </c>
      <c r="K34" s="5">
        <f>AVERAGE(Sheet1!$T$44:$T$49,Sheet1!$T$62:$T$67)</f>
        <v>0.55023937777777787</v>
      </c>
      <c r="L34" s="5">
        <f>STDEV(Sheet1!$T$44:$T$49,Sheet1!$T$62:$T$67)/SQRT(6)</f>
        <v>4.429586934259587E-2</v>
      </c>
    </row>
    <row r="35" spans="1:12" x14ac:dyDescent="0.25">
      <c r="A35" s="6"/>
      <c r="B35" s="6"/>
      <c r="C35" s="6"/>
      <c r="D35" s="6"/>
      <c r="J35">
        <v>54</v>
      </c>
      <c r="K35" s="5">
        <f>AVERAGE(Sheet1!$T$50:$T$55,Sheet1!$T$68:$T$73)</f>
        <v>0.73474768888888864</v>
      </c>
      <c r="L35" s="5">
        <f>STDEV(Sheet1!$T$50:$T$55,Sheet1!$T$68:$T$73)/SQRT(6)</f>
        <v>6.4715412898915387E-2</v>
      </c>
    </row>
    <row r="36" spans="1:12" x14ac:dyDescent="0.25">
      <c r="A36" s="6"/>
      <c r="B36" s="6"/>
      <c r="C36" s="6"/>
      <c r="D36" s="6"/>
    </row>
    <row r="37" spans="1:12" x14ac:dyDescent="0.25">
      <c r="A37" s="6"/>
      <c r="B37" s="6"/>
      <c r="C37" s="6"/>
      <c r="D37" s="6"/>
    </row>
    <row r="38" spans="1:12" x14ac:dyDescent="0.25">
      <c r="A38" s="6"/>
      <c r="B38" s="6"/>
      <c r="C38" s="6"/>
      <c r="D38" s="6"/>
    </row>
    <row r="39" spans="1:12" x14ac:dyDescent="0.25">
      <c r="A39" s="6"/>
      <c r="B39" s="6"/>
      <c r="C39" s="6"/>
      <c r="D39" s="6"/>
    </row>
    <row r="40" spans="1:12" x14ac:dyDescent="0.25">
      <c r="A40" s="6"/>
      <c r="B40" s="6"/>
      <c r="C40" s="6"/>
      <c r="D40" s="6"/>
    </row>
    <row r="41" spans="1:12" x14ac:dyDescent="0.25">
      <c r="A41" s="6"/>
      <c r="B41" s="6"/>
      <c r="C41" s="6"/>
      <c r="D41" s="6"/>
    </row>
    <row r="42" spans="1:12" x14ac:dyDescent="0.25">
      <c r="A42" s="6"/>
      <c r="B42" s="6"/>
      <c r="C42" s="6"/>
      <c r="D42" s="6"/>
    </row>
    <row r="43" spans="1:12" x14ac:dyDescent="0.25">
      <c r="A43" s="6"/>
      <c r="B43" s="6"/>
      <c r="C43" s="6"/>
      <c r="D43" s="6"/>
      <c r="I43" s="9" t="s">
        <v>12</v>
      </c>
    </row>
    <row r="44" spans="1:12" x14ac:dyDescent="0.25">
      <c r="A44" s="6"/>
      <c r="B44" s="6"/>
      <c r="C44" s="6"/>
      <c r="D44" s="6"/>
      <c r="I44" s="4" t="s">
        <v>0</v>
      </c>
      <c r="J44" s="4" t="s">
        <v>42</v>
      </c>
      <c r="K44" s="4" t="s">
        <v>38</v>
      </c>
      <c r="L44" s="4" t="s">
        <v>39</v>
      </c>
    </row>
    <row r="45" spans="1:12" x14ac:dyDescent="0.25">
      <c r="A45" s="6"/>
      <c r="B45" s="6"/>
      <c r="C45" s="6"/>
      <c r="D45" s="6"/>
      <c r="I45" t="s">
        <v>40</v>
      </c>
      <c r="J45">
        <v>13</v>
      </c>
      <c r="K45" s="5">
        <f>AVERAGE(Sheet1!$S$2:$S$7,Sheet1!$S$20:$S$25)</f>
        <v>3.6661817777777772E-2</v>
      </c>
      <c r="L45" s="5">
        <f>STDEV(Sheet1!$S$2:$S$7,Sheet1!$S$20:$S$25)/SQRT(6)</f>
        <v>4.5860182823409508E-3</v>
      </c>
    </row>
    <row r="46" spans="1:12" x14ac:dyDescent="0.25">
      <c r="A46" s="6"/>
      <c r="B46" s="6"/>
      <c r="C46" s="6"/>
      <c r="D46" s="6"/>
      <c r="J46">
        <v>32</v>
      </c>
      <c r="K46" s="5">
        <f>AVERAGE(Sheet1!$S$8:$S$13,Sheet1!$S$26:$S$31)</f>
        <v>0.15054209333333332</v>
      </c>
      <c r="L46" s="5">
        <f>STDEV(Sheet1!$S$8:$S$13,Sheet1!$S$26:$S$31)/SQRT(6)</f>
        <v>2.0169876050686226E-2</v>
      </c>
    </row>
    <row r="47" spans="1:12" x14ac:dyDescent="0.25">
      <c r="A47" s="6"/>
      <c r="B47" s="6"/>
      <c r="C47" s="6"/>
      <c r="D47" s="6"/>
      <c r="J47">
        <v>54</v>
      </c>
      <c r="K47" s="5">
        <f>AVERAGE(Sheet1!$S$14:$S$19,Sheet1!$S$32:$S$37)</f>
        <v>0.57312792000000001</v>
      </c>
      <c r="L47" s="5">
        <f>STDEV(Sheet1!$S$14:$S$19,Sheet1!$S$32:$S$37)/SQRT(6)</f>
        <v>6.759939094840034E-2</v>
      </c>
    </row>
    <row r="48" spans="1:12" x14ac:dyDescent="0.25">
      <c r="A48" s="6"/>
      <c r="B48" s="6"/>
      <c r="C48" s="6"/>
      <c r="D48" s="6"/>
      <c r="I48" t="s">
        <v>41</v>
      </c>
      <c r="J48">
        <v>13</v>
      </c>
      <c r="K48" s="5">
        <f>AVERAGE(Sheet1!$S$38:$S$43,Sheet1!$S$56:$S$61)</f>
        <v>1.3665244444444411E-3</v>
      </c>
      <c r="L48" s="5">
        <f>STDEV(Sheet1!$S$38:$S$43,Sheet1!$S$56:$S$61)/SQRT(6)</f>
        <v>3.901609783651258E-4</v>
      </c>
    </row>
    <row r="49" spans="1:12" x14ac:dyDescent="0.25">
      <c r="A49" s="6"/>
      <c r="B49" s="6"/>
      <c r="C49" s="6"/>
      <c r="D49" s="6"/>
      <c r="J49">
        <v>32</v>
      </c>
      <c r="K49" s="5">
        <f>AVERAGE(Sheet1!$S$44:$S$49,Sheet1!$S$62:$S$67)</f>
        <v>8.9206017777777771E-2</v>
      </c>
      <c r="L49" s="5">
        <f>STDEV(Sheet1!$S$44:$S$49,Sheet1!$S$62:$S$67)/SQRT(6)</f>
        <v>1.0058450894646119E-2</v>
      </c>
    </row>
    <row r="50" spans="1:12" x14ac:dyDescent="0.25">
      <c r="A50" s="6"/>
      <c r="B50" s="6"/>
      <c r="C50" s="6"/>
      <c r="D50" s="6"/>
      <c r="J50">
        <v>54</v>
      </c>
      <c r="K50" s="5">
        <f>AVERAGE(Sheet1!$S$50:$S$55,Sheet1!$S$68:$S$73)</f>
        <v>0.12941467999999998</v>
      </c>
      <c r="L50" s="5">
        <f>STDEV(Sheet1!$S$50:$S$55,Sheet1!$S$68:$S$73)/SQRT(6)</f>
        <v>1.2047636691335836E-2</v>
      </c>
    </row>
    <row r="51" spans="1:12" x14ac:dyDescent="0.25">
      <c r="A51" s="6"/>
      <c r="B51" s="6"/>
      <c r="C51" s="6"/>
      <c r="D51" s="6"/>
    </row>
    <row r="52" spans="1:12" x14ac:dyDescent="0.25">
      <c r="A52" s="6"/>
      <c r="B52" s="6"/>
      <c r="C52" s="6"/>
      <c r="D52" s="6"/>
    </row>
    <row r="53" spans="1:12" x14ac:dyDescent="0.25">
      <c r="A53" s="6"/>
      <c r="B53" s="6"/>
      <c r="C53" s="6"/>
      <c r="D53" s="6"/>
    </row>
    <row r="54" spans="1:12" x14ac:dyDescent="0.25">
      <c r="A54" s="6"/>
      <c r="B54" s="6"/>
      <c r="C54" s="6"/>
      <c r="D54" s="6"/>
    </row>
    <row r="55" spans="1:12" x14ac:dyDescent="0.25">
      <c r="A55" s="6"/>
      <c r="B55" s="6"/>
      <c r="C55" s="6"/>
      <c r="D55" s="6"/>
    </row>
    <row r="56" spans="1:12" x14ac:dyDescent="0.25">
      <c r="A56" s="6"/>
      <c r="B56" s="6"/>
      <c r="C56" s="6"/>
      <c r="D56" s="6"/>
    </row>
    <row r="57" spans="1:12" x14ac:dyDescent="0.25">
      <c r="A57" s="6"/>
      <c r="B57" s="6"/>
      <c r="C57" s="6"/>
      <c r="D57" s="6"/>
    </row>
    <row r="58" spans="1:12" x14ac:dyDescent="0.25">
      <c r="A58" s="6"/>
      <c r="B58" s="6"/>
      <c r="C58" s="6"/>
      <c r="D58" s="6"/>
    </row>
    <row r="59" spans="1:12" x14ac:dyDescent="0.25">
      <c r="A59" s="6"/>
      <c r="B59" s="6"/>
      <c r="C59" s="6"/>
      <c r="D59" s="6"/>
    </row>
    <row r="60" spans="1:12" x14ac:dyDescent="0.25">
      <c r="A60" s="6"/>
      <c r="B60" s="6"/>
      <c r="C60" s="6"/>
      <c r="D60" s="6"/>
    </row>
    <row r="61" spans="1:12" x14ac:dyDescent="0.25">
      <c r="A61" s="6"/>
      <c r="B61" s="6"/>
      <c r="C61" s="6"/>
      <c r="D61" s="6"/>
    </row>
    <row r="62" spans="1:12" x14ac:dyDescent="0.25">
      <c r="A62" s="6"/>
      <c r="B62" s="6"/>
      <c r="C62" s="6"/>
      <c r="D62" s="6"/>
    </row>
    <row r="63" spans="1:12" x14ac:dyDescent="0.25">
      <c r="A63" s="6"/>
      <c r="B63" s="6"/>
      <c r="C63" s="6"/>
      <c r="D63" s="6"/>
    </row>
    <row r="64" spans="1:12" x14ac:dyDescent="0.25">
      <c r="A64" s="6"/>
      <c r="B64" s="6"/>
      <c r="C64" s="6"/>
      <c r="D64" s="6"/>
    </row>
    <row r="65" spans="1:12" x14ac:dyDescent="0.25">
      <c r="A65" s="6"/>
      <c r="B65" s="6"/>
      <c r="C65" s="6"/>
      <c r="D65" s="6"/>
      <c r="I65" s="19" t="s">
        <v>21</v>
      </c>
    </row>
    <row r="66" spans="1:12" x14ac:dyDescent="0.25">
      <c r="A66" s="6"/>
      <c r="B66" s="6"/>
      <c r="C66" s="6"/>
      <c r="D66" s="6"/>
      <c r="I66" s="4" t="s">
        <v>0</v>
      </c>
      <c r="J66" s="4" t="s">
        <v>42</v>
      </c>
      <c r="K66" s="4" t="s">
        <v>38</v>
      </c>
      <c r="L66" s="4" t="s">
        <v>39</v>
      </c>
    </row>
    <row r="67" spans="1:12" x14ac:dyDescent="0.25">
      <c r="A67" s="6"/>
      <c r="B67" s="6"/>
      <c r="C67" s="6"/>
      <c r="D67" s="6"/>
      <c r="I67" t="s">
        <v>40</v>
      </c>
      <c r="J67">
        <v>13</v>
      </c>
      <c r="K67" s="5">
        <f>AVERAGE(Sheet1!$V$2:$V$7,Sheet1!$V$20:$V$25)</f>
        <v>0.34044444444444438</v>
      </c>
      <c r="L67" s="5">
        <f>STDEV(Sheet1!$V$2:$V$7,Sheet1!$V$20:$V$25)/SQRT(6)</f>
        <v>3.4909651983262638E-2</v>
      </c>
    </row>
    <row r="68" spans="1:12" x14ac:dyDescent="0.25">
      <c r="A68" s="6"/>
      <c r="B68" s="6"/>
      <c r="C68" s="6"/>
      <c r="D68" s="6"/>
      <c r="J68">
        <v>32</v>
      </c>
      <c r="K68" s="5">
        <f>AVERAGE(Sheet1!$V$8:$V$13,Sheet1!$V$26:$V$31)</f>
        <v>0.59886388888888886</v>
      </c>
      <c r="L68" s="5">
        <f>STDEV(Sheet1!$V$8:$V$13,Sheet1!$V$26:$V$31)/SQRT(6)</f>
        <v>4.7990515760660289E-2</v>
      </c>
    </row>
    <row r="69" spans="1:12" x14ac:dyDescent="0.25">
      <c r="A69" s="6"/>
      <c r="B69" s="6"/>
      <c r="C69" s="6"/>
      <c r="D69" s="6"/>
      <c r="J69">
        <v>54</v>
      </c>
      <c r="K69" s="5">
        <f>AVERAGE(Sheet1!$V$14:$V$19,Sheet1!$V$32:$V$37)</f>
        <v>1.5159078189300412</v>
      </c>
      <c r="L69" s="5">
        <f>STDEV(Sheet1!$V$14:$V$19,Sheet1!$V$32:$V$37)/SQRT(6)</f>
        <v>0.14709509662357756</v>
      </c>
    </row>
    <row r="70" spans="1:12" x14ac:dyDescent="0.25">
      <c r="A70" s="6"/>
      <c r="B70" s="6"/>
      <c r="C70" s="6"/>
      <c r="D70" s="6"/>
      <c r="I70" t="s">
        <v>41</v>
      </c>
      <c r="J70">
        <v>13</v>
      </c>
      <c r="K70" s="5">
        <f>AVERAGE(Sheet1!$V$38:$V$43,Sheet1!$V$56:$V$61)</f>
        <v>5.728205128205114E-2</v>
      </c>
      <c r="L70" s="5">
        <f>STDEV(Sheet1!$V$38:$V$43,Sheet1!$V$56:$V$61)/SQRT(6)</f>
        <v>7.5756962761252085E-3</v>
      </c>
    </row>
    <row r="71" spans="1:12" x14ac:dyDescent="0.25">
      <c r="A71" s="6"/>
      <c r="B71" s="6"/>
      <c r="C71" s="6"/>
      <c r="D71" s="6"/>
      <c r="J71">
        <v>32</v>
      </c>
      <c r="K71" s="5">
        <f>AVERAGE(Sheet1!$V$44:$V$49,Sheet1!$V$62:$V$67)</f>
        <v>0.1753513888888889</v>
      </c>
      <c r="L71" s="5">
        <f>STDEV(Sheet1!$V$44:$V$49,Sheet1!$V$62:$V$67)/SQRT(6)</f>
        <v>1.2378093586159478E-2</v>
      </c>
    </row>
    <row r="72" spans="1:12" x14ac:dyDescent="0.25">
      <c r="A72" s="6"/>
      <c r="B72" s="6"/>
      <c r="C72" s="6"/>
      <c r="D72" s="6"/>
      <c r="J72">
        <v>54</v>
      </c>
      <c r="K72" s="5">
        <f>AVERAGE(Sheet1!$V$50:$V$55,Sheet1!$V$68:$V$73)</f>
        <v>0.14819835390946498</v>
      </c>
      <c r="L72" s="5">
        <f>STDEV(Sheet1!$V$50:$V$55,Sheet1!$V$68:$V$73)/SQRT(6)</f>
        <v>7.3747937896559449E-3</v>
      </c>
    </row>
    <row r="73" spans="1:12" x14ac:dyDescent="0.25">
      <c r="A73" s="6"/>
      <c r="B73" s="6"/>
      <c r="C73" s="6"/>
      <c r="D73" s="6"/>
    </row>
    <row r="83" spans="9:12" x14ac:dyDescent="0.25">
      <c r="I83" s="19" t="s">
        <v>22</v>
      </c>
    </row>
    <row r="84" spans="9:12" x14ac:dyDescent="0.25">
      <c r="I84" s="4" t="s">
        <v>0</v>
      </c>
      <c r="J84" s="4" t="s">
        <v>42</v>
      </c>
      <c r="K84" s="4" t="s">
        <v>38</v>
      </c>
      <c r="L84" s="4" t="s">
        <v>39</v>
      </c>
    </row>
    <row r="85" spans="9:12" x14ac:dyDescent="0.25">
      <c r="I85" t="s">
        <v>40</v>
      </c>
      <c r="J85">
        <v>13</v>
      </c>
      <c r="K85" s="5">
        <f>AVERAGE(Sheet1!$W$2:$W$7,Sheet1!$W$20:$W$25)</f>
        <v>2.8201398290598292E-3</v>
      </c>
      <c r="L85" s="5">
        <f>STDEV(Sheet1!$W$2:$W$7,Sheet1!$W$20:$W$25)/SQRT(6)</f>
        <v>3.5277063710315005E-4</v>
      </c>
    </row>
    <row r="86" spans="9:12" x14ac:dyDescent="0.25">
      <c r="J86">
        <v>32</v>
      </c>
      <c r="K86" s="5">
        <f>AVERAGE(Sheet1!$W$8:$W$13,Sheet1!$W$26:$W$31)</f>
        <v>4.7044404166666663E-3</v>
      </c>
      <c r="L86" s="5">
        <f>STDEV(Sheet1!$W$8:$W$13,Sheet1!$W$26:$W$31)/SQRT(6)</f>
        <v>6.3030862658394456E-4</v>
      </c>
    </row>
    <row r="87" spans="9:12" x14ac:dyDescent="0.25">
      <c r="J87">
        <v>54</v>
      </c>
      <c r="K87" s="5">
        <f>AVERAGE(Sheet1!$W$14:$W$19,Sheet1!$W$32:$W$37)</f>
        <v>1.061348E-2</v>
      </c>
      <c r="L87" s="5">
        <f>STDEV(Sheet1!$W$14:$W$19,Sheet1!$W$32:$W$37)/SQRT(6)</f>
        <v>1.2518405731185242E-3</v>
      </c>
    </row>
    <row r="88" spans="9:12" x14ac:dyDescent="0.25">
      <c r="I88" t="s">
        <v>41</v>
      </c>
      <c r="J88">
        <v>13</v>
      </c>
      <c r="K88" s="5">
        <f>AVERAGE(Sheet1!$W$38:$W$43,Sheet1!$W$56:$W$61)</f>
        <v>1.0511726495726472E-4</v>
      </c>
      <c r="L88" s="5">
        <f>STDEV(Sheet1!$W$38:$W$43,Sheet1!$W$56:$W$61)/SQRT(6)</f>
        <v>3.001238295116352E-5</v>
      </c>
    </row>
    <row r="89" spans="9:12" x14ac:dyDescent="0.25">
      <c r="J89">
        <v>32</v>
      </c>
      <c r="K89" s="5">
        <f>AVERAGE(Sheet1!$W$44:$W$49,Sheet1!$W$62:$W$67)</f>
        <v>2.7876880555555554E-3</v>
      </c>
      <c r="L89" s="5">
        <f>STDEV(Sheet1!$W$44:$W$49,Sheet1!$W$62:$W$67)/SQRT(6)</f>
        <v>3.1432659045769069E-4</v>
      </c>
    </row>
    <row r="90" spans="9:12" x14ac:dyDescent="0.25">
      <c r="J90">
        <v>54</v>
      </c>
      <c r="K90" s="5">
        <f>AVERAGE(Sheet1!$W$50:$W$55,Sheet1!$W$68:$W$73)</f>
        <v>2.3965681481481478E-3</v>
      </c>
      <c r="L90" s="5">
        <f>STDEV(Sheet1!$W$50:$W$55,Sheet1!$W$68:$W$73)/SQRT(6)</f>
        <v>2.2310438317288604E-4</v>
      </c>
    </row>
    <row r="100" spans="9:12" x14ac:dyDescent="0.25">
      <c r="I100" s="19" t="s">
        <v>23</v>
      </c>
    </row>
    <row r="101" spans="9:12" x14ac:dyDescent="0.25">
      <c r="I101" s="4" t="s">
        <v>0</v>
      </c>
      <c r="J101" s="4" t="s">
        <v>42</v>
      </c>
      <c r="K101" s="4" t="s">
        <v>38</v>
      </c>
      <c r="L101" s="4" t="s">
        <v>39</v>
      </c>
    </row>
    <row r="102" spans="9:12" x14ac:dyDescent="0.25">
      <c r="I102" t="s">
        <v>40</v>
      </c>
      <c r="J102">
        <v>13</v>
      </c>
      <c r="K102" s="5">
        <f>AVERAGE(Sheet1!$X$2:$X$7,Sheet1!$X$20:$X$25)</f>
        <v>1.7396003418803419E-2</v>
      </c>
      <c r="L102" s="5">
        <f>STDEV(Sheet1!$X$2:$X$7,Sheet1!$X$20:$X$25)/SQRT(6)</f>
        <v>2.6176043423104456E-3</v>
      </c>
    </row>
    <row r="103" spans="9:12" x14ac:dyDescent="0.25">
      <c r="J103">
        <v>32</v>
      </c>
      <c r="K103" s="5">
        <f>AVERAGE(Sheet1!$X$8:$X$13,Sheet1!$X$26:$X$31)</f>
        <v>4.7667011111111109E-2</v>
      </c>
      <c r="L103" s="5">
        <f>STDEV(Sheet1!$X$8:$X$13,Sheet1!$X$26:$X$31)/SQRT(6)</f>
        <v>9.4551250486513538E-3</v>
      </c>
    </row>
    <row r="104" spans="9:12" x14ac:dyDescent="0.25">
      <c r="J104">
        <v>54</v>
      </c>
      <c r="K104" s="5">
        <f>AVERAGE(Sheet1!$X$14:$X$19,Sheet1!$X$32:$X$37)</f>
        <v>0.23290338353909465</v>
      </c>
      <c r="L104" s="5">
        <f>STDEV(Sheet1!$X$14:$X$19,Sheet1!$X$32:$X$37)/SQRT(6)</f>
        <v>4.2886010939630827E-2</v>
      </c>
    </row>
    <row r="105" spans="9:12" x14ac:dyDescent="0.25">
      <c r="I105" t="s">
        <v>41</v>
      </c>
      <c r="J105">
        <v>13</v>
      </c>
      <c r="K105" s="5">
        <f>AVERAGE(Sheet1!$X$38:$X$43,Sheet1!$X$56:$X$61)</f>
        <v>1.5017829059829027E-3</v>
      </c>
      <c r="L105" s="5">
        <f>STDEV(Sheet1!$X$38:$X$43,Sheet1!$X$56:$X$61)/SQRT(6)</f>
        <v>3.5266342626967361E-4</v>
      </c>
    </row>
    <row r="106" spans="9:12" x14ac:dyDescent="0.25">
      <c r="J106">
        <v>32</v>
      </c>
      <c r="K106" s="5">
        <f>AVERAGE(Sheet1!$X$44:$X$49,Sheet1!$X$62:$X$67)</f>
        <v>1.7194980555555558E-2</v>
      </c>
      <c r="L106" s="5">
        <f>STDEV(Sheet1!$X$44:$X$49,Sheet1!$X$62:$X$67)/SQRT(6)</f>
        <v>1.3842459169561238E-3</v>
      </c>
    </row>
    <row r="107" spans="9:12" x14ac:dyDescent="0.25">
      <c r="J107">
        <v>54</v>
      </c>
      <c r="K107" s="5">
        <f>AVERAGE(Sheet1!$X$50:$X$55,Sheet1!$X$68:$X$73)</f>
        <v>1.3606438683127569E-2</v>
      </c>
      <c r="L107" s="5">
        <f>STDEV(Sheet1!$X$50:$X$55,Sheet1!$X$68:$X$73)/SQRT(6)</f>
        <v>1.1984335722021332E-3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647E-9763-4D66-82D7-219B2C8D614A}">
  <dimension ref="B1:H12"/>
  <sheetViews>
    <sheetView workbookViewId="0">
      <selection activeCell="B25" sqref="B25"/>
    </sheetView>
  </sheetViews>
  <sheetFormatPr defaultRowHeight="15" x14ac:dyDescent="0.25"/>
  <cols>
    <col min="2" max="2" width="19.7109375" style="1" bestFit="1" customWidth="1"/>
    <col min="3" max="3" width="9" style="1" customWidth="1"/>
    <col min="4" max="4" width="8.85546875" style="1"/>
    <col min="5" max="5" width="15" style="1" bestFit="1" customWidth="1"/>
  </cols>
  <sheetData>
    <row r="1" spans="2:8" x14ac:dyDescent="0.25">
      <c r="B1" s="3" t="s">
        <v>43</v>
      </c>
      <c r="C1" s="3" t="s">
        <v>44</v>
      </c>
      <c r="D1" s="3" t="s">
        <v>45</v>
      </c>
      <c r="E1" s="3" t="s">
        <v>46</v>
      </c>
    </row>
    <row r="2" spans="2:8" x14ac:dyDescent="0.25">
      <c r="B2" s="1">
        <v>0</v>
      </c>
      <c r="C2" s="20">
        <f>H4</f>
        <v>49087.385937499996</v>
      </c>
      <c r="D2" s="1">
        <f>SQRT(C2/$H$2)</f>
        <v>124.99999999999999</v>
      </c>
      <c r="E2" s="20">
        <f>$H$3-D2</f>
        <v>0</v>
      </c>
      <c r="G2" t="s">
        <v>47</v>
      </c>
      <c r="H2">
        <f>3.1415927</f>
        <v>3.1415926999999999</v>
      </c>
    </row>
    <row r="3" spans="2:8" x14ac:dyDescent="0.25">
      <c r="B3" s="1">
        <v>0.1</v>
      </c>
      <c r="C3" s="20">
        <f>C2-($C$2*$B$3)</f>
        <v>44178.647343749995</v>
      </c>
      <c r="D3" s="20">
        <f t="shared" ref="D3:D12" si="0">SQRT(C3/$H$2)</f>
        <v>118.58541225631421</v>
      </c>
      <c r="E3" s="20">
        <f t="shared" ref="E3:E12" si="1">$H$3-D3</f>
        <v>6.4145877436857859</v>
      </c>
      <c r="G3" t="s">
        <v>48</v>
      </c>
      <c r="H3">
        <v>125</v>
      </c>
    </row>
    <row r="4" spans="2:8" x14ac:dyDescent="0.25">
      <c r="B4" s="1">
        <v>0.2</v>
      </c>
      <c r="C4" s="20">
        <f t="shared" ref="C4:C12" si="2">C3-($C$2*$B$3)</f>
        <v>39269.908749999995</v>
      </c>
      <c r="D4" s="20">
        <f t="shared" si="0"/>
        <v>111.80339887498948</v>
      </c>
      <c r="E4" s="20">
        <f t="shared" si="1"/>
        <v>13.196601125010517</v>
      </c>
      <c r="G4" t="s">
        <v>44</v>
      </c>
      <c r="H4" s="21">
        <f>H2*(H3*H3)</f>
        <v>49087.385937499996</v>
      </c>
    </row>
    <row r="5" spans="2:8" x14ac:dyDescent="0.25">
      <c r="B5" s="1">
        <v>0.3</v>
      </c>
      <c r="C5" s="20">
        <f t="shared" si="2"/>
        <v>34361.170156249995</v>
      </c>
      <c r="D5" s="20">
        <f t="shared" si="0"/>
        <v>104.58250331675943</v>
      </c>
      <c r="E5" s="20">
        <f t="shared" si="1"/>
        <v>20.417496683240572</v>
      </c>
    </row>
    <row r="6" spans="2:8" x14ac:dyDescent="0.25">
      <c r="B6" s="1">
        <v>0.4</v>
      </c>
      <c r="C6" s="20">
        <f t="shared" si="2"/>
        <v>29452.431562499994</v>
      </c>
      <c r="D6" s="20">
        <f t="shared" si="0"/>
        <v>96.824583655185407</v>
      </c>
      <c r="E6" s="20">
        <f t="shared" si="1"/>
        <v>28.175416344814593</v>
      </c>
    </row>
    <row r="7" spans="2:8" x14ac:dyDescent="0.25">
      <c r="B7" s="1">
        <v>0.5</v>
      </c>
      <c r="C7" s="20">
        <f t="shared" si="2"/>
        <v>24543.692968749994</v>
      </c>
      <c r="D7" s="20">
        <f t="shared" si="0"/>
        <v>88.38834764831843</v>
      </c>
      <c r="E7" s="20">
        <f t="shared" si="1"/>
        <v>36.61165235168157</v>
      </c>
    </row>
    <row r="8" spans="2:8" x14ac:dyDescent="0.25">
      <c r="B8" s="1">
        <v>0.6</v>
      </c>
      <c r="C8" s="20">
        <f t="shared" si="2"/>
        <v>19634.954374999994</v>
      </c>
      <c r="D8" s="20">
        <f t="shared" si="0"/>
        <v>79.056941504209476</v>
      </c>
      <c r="E8" s="20">
        <f t="shared" si="1"/>
        <v>45.943058495790524</v>
      </c>
    </row>
    <row r="9" spans="2:8" x14ac:dyDescent="0.25">
      <c r="B9" s="1">
        <v>0.7</v>
      </c>
      <c r="C9" s="20">
        <f t="shared" si="2"/>
        <v>14726.215781249994</v>
      </c>
      <c r="D9" s="20">
        <f t="shared" si="0"/>
        <v>68.465319688145755</v>
      </c>
      <c r="E9" s="20">
        <f t="shared" si="1"/>
        <v>56.534680311854245</v>
      </c>
    </row>
    <row r="10" spans="2:8" x14ac:dyDescent="0.25">
      <c r="B10" s="1">
        <v>0.8</v>
      </c>
      <c r="C10" s="20">
        <f t="shared" si="2"/>
        <v>9817.4771874999933</v>
      </c>
      <c r="D10" s="20">
        <f t="shared" si="0"/>
        <v>55.901699437494727</v>
      </c>
      <c r="E10" s="20">
        <f t="shared" si="1"/>
        <v>69.098300562505273</v>
      </c>
    </row>
    <row r="11" spans="2:8" x14ac:dyDescent="0.25">
      <c r="B11" s="1">
        <v>0.9</v>
      </c>
      <c r="C11" s="20">
        <f t="shared" si="2"/>
        <v>4908.7385937499939</v>
      </c>
      <c r="D11" s="20">
        <f t="shared" si="0"/>
        <v>39.528470752104717</v>
      </c>
      <c r="E11" s="20">
        <f t="shared" si="1"/>
        <v>85.47152924789529</v>
      </c>
    </row>
    <row r="12" spans="2:8" x14ac:dyDescent="0.25">
      <c r="B12" s="1">
        <v>1</v>
      </c>
      <c r="C12" s="20">
        <f t="shared" si="2"/>
        <v>0</v>
      </c>
      <c r="D12" s="20">
        <f t="shared" si="0"/>
        <v>0</v>
      </c>
      <c r="E12" s="20">
        <f t="shared" si="1"/>
        <v>125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mk xmlns="de106d1a-8bb7-4f5c-a311-1cdcd19c2f29" xsi:nil="true"/>
    <lcf76f155ced4ddcb4097134ff3c332f xmlns="de106d1a-8bb7-4f5c-a311-1cdcd19c2f29">
      <Terms xmlns="http://schemas.microsoft.com/office/infopath/2007/PartnerControls"/>
    </lcf76f155ced4ddcb4097134ff3c332f>
    <TaxCatchAll xmlns="1eaf255a-6d0a-4e64-b9e2-96ad16efe479" xsi:nil="true"/>
    <SharedWithUsers xmlns="1eaf255a-6d0a-4e64-b9e2-96ad16efe479">
      <UserInfo>
        <DisplayName>Rob Major</DisplayName>
        <AccountId>110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36DE9A5EE24418E40F3BA2F22C3B5" ma:contentTypeVersion="20" ma:contentTypeDescription="Create a new document." ma:contentTypeScope="" ma:versionID="a59c693324163aff0f4727d3a9240aa1">
  <xsd:schema xmlns:xsd="http://www.w3.org/2001/XMLSchema" xmlns:xs="http://www.w3.org/2001/XMLSchema" xmlns:p="http://schemas.microsoft.com/office/2006/metadata/properties" xmlns:ns2="de106d1a-8bb7-4f5c-a311-1cdcd19c2f29" xmlns:ns3="1eaf255a-6d0a-4e64-b9e2-96ad16efe479" targetNamespace="http://schemas.microsoft.com/office/2006/metadata/properties" ma:root="true" ma:fieldsID="ef8794a4f28629ed681f8bd00ad2c3c9" ns2:_="" ns3:_="">
    <xsd:import namespace="de106d1a-8bb7-4f5c-a311-1cdcd19c2f29"/>
    <xsd:import namespace="1eaf255a-6d0a-4e64-b9e2-96ad16ef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lmk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06d1a-8bb7-4f5c-a311-1cdcd19c2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lmk" ma:index="12" nillable="true" ma:displayName="Text" ma:internalName="plmk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a901c6-6db3-41aa-b982-22f35efe4b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f255a-6d0a-4e64-b9e2-96ad16efe4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d5abbb0-465b-4fc7-800d-756be7018577}" ma:internalName="TaxCatchAll" ma:showField="CatchAllData" ma:web="1eaf255a-6d0a-4e64-b9e2-96ad16ef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491121-7972-4A9F-9CD1-83881387DFD5}">
  <ds:schemaRefs>
    <ds:schemaRef ds:uri="http://schemas.microsoft.com/office/2006/metadata/properties"/>
    <ds:schemaRef ds:uri="http://schemas.microsoft.com/office/infopath/2007/PartnerControls"/>
    <ds:schemaRef ds:uri="de106d1a-8bb7-4f5c-a311-1cdcd19c2f29"/>
    <ds:schemaRef ds:uri="1eaf255a-6d0a-4e64-b9e2-96ad16efe479"/>
  </ds:schemaRefs>
</ds:datastoreItem>
</file>

<file path=customXml/itemProps2.xml><?xml version="1.0" encoding="utf-8"?>
<ds:datastoreItem xmlns:ds="http://schemas.openxmlformats.org/officeDocument/2006/customXml" ds:itemID="{3C78B7F5-A8EF-4F9E-8D13-39754E71A0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6422D4-4288-4039-8197-7E6601184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06d1a-8bb7-4f5c-a311-1cdcd19c2f29"/>
    <ds:schemaRef ds:uri="1eaf255a-6d0a-4e64-b9e2-96ad16efe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Hopkins</dc:creator>
  <cp:keywords/>
  <dc:description/>
  <cp:lastModifiedBy>Javier Atalah</cp:lastModifiedBy>
  <cp:revision/>
  <dcterms:created xsi:type="dcterms:W3CDTF">2022-06-08T02:19:58Z</dcterms:created>
  <dcterms:modified xsi:type="dcterms:W3CDTF">2024-09-24T02:24:32Z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0x01010061936DE9A5EE24418E40F3BA2F22C3B5</vt:lpwstr>
  </property>
  <property fmtid="{D5CDD505-2E9C-101B-9397-08002B2CF9AE}" pid="3" name="MediaServiceImageTags">
    <vt:lpwstr/>
  </property>
</Properties>
</file>