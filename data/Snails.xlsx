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thron99.sharepoint.com/sites/BiosecurityToolboxEndeavourprogramme/Shared Documents/General/RA2 - PROTECT/RA1.2.1 Antifouling/2020_21/Biocontrol/Biocontrol diet and sustenance/data_analyses/data/"/>
    </mc:Choice>
  </mc:AlternateContent>
  <xr:revisionPtr revIDLastSave="281" documentId="8_{4613E290-8D2E-4E3E-85CE-1FDA589EEBAF}" xr6:coauthVersionLast="47" xr6:coauthVersionMax="47" xr10:uidLastSave="{CD65B3BC-AA3F-499C-973C-5C0C3AB7C130}"/>
  <bookViews>
    <workbookView xWindow="-28920" yWindow="-120" windowWidth="29040" windowHeight="15840" firstSheet="1" activeTab="1" xr2:uid="{0B7EF3FA-E87E-438C-85F0-F1B32B0CACC3}"/>
  </bookViews>
  <sheets>
    <sheet name="SnailStats" sheetId="1" r:id="rId1"/>
    <sheet name="Baseline summary" sheetId="3" r:id="rId2"/>
    <sheet name="Meta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3" l="1"/>
  <c r="M31" i="3"/>
  <c r="M32" i="3" s="1"/>
  <c r="G32" i="3"/>
  <c r="G30" i="3"/>
  <c r="H30" i="3"/>
  <c r="I30" i="3"/>
  <c r="J30" i="3"/>
  <c r="K30" i="3"/>
  <c r="L30" i="3"/>
  <c r="G31" i="3"/>
  <c r="H31" i="3"/>
  <c r="H32" i="3" s="1"/>
  <c r="I31" i="3"/>
  <c r="J31" i="3"/>
  <c r="J32" i="3" s="1"/>
  <c r="K31" i="3"/>
  <c r="K32" i="3" s="1"/>
  <c r="L31" i="3"/>
  <c r="L32" i="3" s="1"/>
  <c r="I32" i="3"/>
  <c r="F32" i="3"/>
  <c r="F31" i="3"/>
  <c r="F30" i="3"/>
</calcChain>
</file>

<file path=xl/sharedStrings.xml><?xml version="1.0" encoding="utf-8"?>
<sst xmlns="http://schemas.openxmlformats.org/spreadsheetml/2006/main" count="520" uniqueCount="138">
  <si>
    <t>snailID</t>
  </si>
  <si>
    <t>sampling</t>
  </si>
  <si>
    <t>treatment</t>
  </si>
  <si>
    <t>tank</t>
  </si>
  <si>
    <t>rep</t>
  </si>
  <si>
    <t>weight</t>
  </si>
  <si>
    <t>Protein (% of DW)</t>
  </si>
  <si>
    <t>Lipid (% of DW)</t>
  </si>
  <si>
    <t>Water Content (%)</t>
  </si>
  <si>
    <t>Ash (% of DW)</t>
  </si>
  <si>
    <t>TOM (% of DW)</t>
  </si>
  <si>
    <t>Carbs (% of DW)</t>
  </si>
  <si>
    <t>T0_N_1_1</t>
  </si>
  <si>
    <t>Baseline</t>
  </si>
  <si>
    <t>Nil</t>
  </si>
  <si>
    <t>T0_N_1_2</t>
  </si>
  <si>
    <t>NA</t>
  </si>
  <si>
    <t>T0_N_1_3</t>
  </si>
  <si>
    <t>T0_N_4_1</t>
  </si>
  <si>
    <t>T0_N_4_2</t>
  </si>
  <si>
    <t>T0_N_4_3</t>
  </si>
  <si>
    <t>T0_N_7_1</t>
  </si>
  <si>
    <t>T0_N_7_2</t>
  </si>
  <si>
    <t>T0_N_7_3</t>
  </si>
  <si>
    <t>T0_13_3_1</t>
  </si>
  <si>
    <t>T0_13_3_2</t>
  </si>
  <si>
    <t>T0_13_3_3</t>
  </si>
  <si>
    <t>T0_13_5_1</t>
  </si>
  <si>
    <t>T0_13_5_2</t>
  </si>
  <si>
    <t>T0_13_5_3</t>
  </si>
  <si>
    <t>T0_13_2_1</t>
  </si>
  <si>
    <t>T0_13_2_2</t>
  </si>
  <si>
    <t>T0_13_2_3</t>
  </si>
  <si>
    <t>T0_54_9_1</t>
  </si>
  <si>
    <t>T0_54_9_2</t>
  </si>
  <si>
    <t>T0_54_9_3</t>
  </si>
  <si>
    <t>T0_54_6_1</t>
  </si>
  <si>
    <t>T0_54_6_2</t>
  </si>
  <si>
    <t>T0_54_6_3</t>
  </si>
  <si>
    <t>T0_54_8_1</t>
  </si>
  <si>
    <t>T0_54_8_2</t>
  </si>
  <si>
    <t>T0_54_8_3</t>
  </si>
  <si>
    <t>T1_N_1_1</t>
  </si>
  <si>
    <t>Final</t>
  </si>
  <si>
    <t>T1_N_1_2</t>
  </si>
  <si>
    <t>T1_N_1_3</t>
  </si>
  <si>
    <t>T1_N_1_4</t>
  </si>
  <si>
    <t>T1_N_1_5</t>
  </si>
  <si>
    <t>T1_N_1_6</t>
  </si>
  <si>
    <t>T1_N_1_7</t>
  </si>
  <si>
    <t>T1_N_1_8</t>
  </si>
  <si>
    <t>T1_N_4_1</t>
  </si>
  <si>
    <t>T1_N_4_2</t>
  </si>
  <si>
    <t>T1_N_4_3</t>
  </si>
  <si>
    <t>T1_N_4_4</t>
  </si>
  <si>
    <t>T1_N_4_5</t>
  </si>
  <si>
    <t>T1_N_4_6</t>
  </si>
  <si>
    <t>T1_N_4_7</t>
  </si>
  <si>
    <t>T1_N_4_8</t>
  </si>
  <si>
    <t>T1_N_7_1</t>
  </si>
  <si>
    <t>T1_N_7_2</t>
  </si>
  <si>
    <t>T1_N_7_3</t>
  </si>
  <si>
    <t>T1_N_7_4</t>
  </si>
  <si>
    <t>T1_N_7_5</t>
  </si>
  <si>
    <t>T1_N_7_6</t>
  </si>
  <si>
    <t>T1_N_7_7</t>
  </si>
  <si>
    <t>T1_N_7_8</t>
  </si>
  <si>
    <t>T1_13_3_1</t>
  </si>
  <si>
    <t>T1_13_3_2</t>
  </si>
  <si>
    <t>T1_13_3_3</t>
  </si>
  <si>
    <t>T1_13_3_4</t>
  </si>
  <si>
    <t>T1_13_3_5</t>
  </si>
  <si>
    <t>T1_13_3_6</t>
  </si>
  <si>
    <t>T1_13_3_7</t>
  </si>
  <si>
    <t>T1_13_3_8</t>
  </si>
  <si>
    <t>T1_13_5_1</t>
  </si>
  <si>
    <t>T1_13_5_2</t>
  </si>
  <si>
    <t>T1_13_5_3</t>
  </si>
  <si>
    <t>T1_13_5_4</t>
  </si>
  <si>
    <t>T1_13_5_5</t>
  </si>
  <si>
    <t>T1_13_5_6</t>
  </si>
  <si>
    <t>T1_13_5_7</t>
  </si>
  <si>
    <t>T1_13_5_8</t>
  </si>
  <si>
    <t>T1_13_2_1</t>
  </si>
  <si>
    <t>T1_13_2_2</t>
  </si>
  <si>
    <t>T1_13_2_3</t>
  </si>
  <si>
    <t>T1_13_2_4</t>
  </si>
  <si>
    <t>T1_13_2_5</t>
  </si>
  <si>
    <t>T1_13_2_6</t>
  </si>
  <si>
    <t>T1_13_2_7</t>
  </si>
  <si>
    <t>T1_13_2_8</t>
  </si>
  <si>
    <t>T1_54_9_1</t>
  </si>
  <si>
    <t>T1_54_9_2</t>
  </si>
  <si>
    <t>T1_54_9_3</t>
  </si>
  <si>
    <t>T1_54_9_4</t>
  </si>
  <si>
    <t>T1_54_9_5</t>
  </si>
  <si>
    <t>T1_54_9_6</t>
  </si>
  <si>
    <t>T1_54_9_7</t>
  </si>
  <si>
    <t>T1_54_9_8</t>
  </si>
  <si>
    <t>T1_54_6_1</t>
  </si>
  <si>
    <t>T1_54_6_2</t>
  </si>
  <si>
    <t>T1_54_6_3</t>
  </si>
  <si>
    <t>T1_54_6_4</t>
  </si>
  <si>
    <t>T1_54_6_5</t>
  </si>
  <si>
    <t>T1_54_6_6</t>
  </si>
  <si>
    <t>T1_54_6_7</t>
  </si>
  <si>
    <t>T1_54_6_8</t>
  </si>
  <si>
    <t>T1_54_8_1</t>
  </si>
  <si>
    <t>T1_54_8_2</t>
  </si>
  <si>
    <t>T1_54_8_3</t>
  </si>
  <si>
    <t>T1_54_8_4</t>
  </si>
  <si>
    <t>T1_54_8_5</t>
  </si>
  <si>
    <t>T1_54_8_6</t>
  </si>
  <si>
    <t>T1_54_8_7</t>
  </si>
  <si>
    <t>T1_54_8_8</t>
  </si>
  <si>
    <t>MDA (nmol / g FW)</t>
  </si>
  <si>
    <t>Mean</t>
  </si>
  <si>
    <t>SD</t>
  </si>
  <si>
    <t>SE</t>
  </si>
  <si>
    <t>Lunella oxidative stress experiment - funded under the MBIE Biosecurity Toolbox (BST 17383/04/200)</t>
  </si>
  <si>
    <t xml:space="preserve">See document in folder for experiment rationale and background </t>
  </si>
  <si>
    <t>Unique code that corresponds to the treatment_tank_rep for each snail</t>
  </si>
  <si>
    <t>Baseline sampling was of 3 snails following a 5-day acclimitisation period and prior to food exposure</t>
  </si>
  <si>
    <t>Final sampling was following 7-days full of food exposure (sampled on the 8th day)</t>
  </si>
  <si>
    <t>Food exposure snails received: Nil, 13-day old biofouling, or 54-day old biofouling</t>
  </si>
  <si>
    <t>Three tanks per food treatment</t>
  </si>
  <si>
    <t>Eight snails per tank</t>
  </si>
  <si>
    <t>wet weight of snail immediately prior to freezing (g)</t>
  </si>
  <si>
    <t>Protein (%) of DW</t>
  </si>
  <si>
    <t>Lipid (%) of DW</t>
  </si>
  <si>
    <t>No data available for this variable</t>
  </si>
  <si>
    <t xml:space="preserve">Additional notes: </t>
  </si>
  <si>
    <t xml:space="preserve">Two snails were a different species at the final sampling - these were weighed so that the tank average could still be calculated </t>
  </si>
  <si>
    <t>These snails were not frozen as wouldn't be comparable with other samples</t>
  </si>
  <si>
    <t>Sample analysis:</t>
  </si>
  <si>
    <t>Option to only process 5 reps instead of 8 if we want to keep costs down?</t>
  </si>
  <si>
    <t>Densities were based on food requirements in the wild and expected biofouling biomass based on other experiment but we don't strictly have to process them all</t>
  </si>
  <si>
    <t>This would mean removing the red text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</si>
</sst>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/>
    <xf numFmtId="2" fontId="0" fillId="3" borderId="0" xfId="0" applyNumberFormat="1" applyFill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D301-E9CC-4320-BA6A-758A33DC7F13}">
  <dimension ref="A1:L101"/>
  <sheetViews>
    <sheetView workbookViewId="0">
      <selection activeCell="P14" sqref="P14"/>
    </sheetView>
  </sheetViews>
  <sheetFormatPr defaultRowHeight="15"/>
  <cols>
    <col min="1" max="1" width="15.140625" style="6" bestFit="1" customWidth="1"/>
    <col min="2" max="2" width="12.85546875" style="6" customWidth="1"/>
    <col min="3" max="3" width="10.28515625" style="6" bestFit="1" customWidth="1"/>
    <col min="4" max="5" width="9.140625" style="6"/>
    <col min="6" max="6" width="17.140625" style="6" customWidth="1"/>
    <col min="7" max="12" width="20.1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13</v>
      </c>
      <c r="C2" s="3" t="s">
        <v>14</v>
      </c>
      <c r="D2" s="3">
        <v>1</v>
      </c>
      <c r="E2" s="3">
        <v>1</v>
      </c>
      <c r="F2" s="4">
        <v>6.65</v>
      </c>
      <c r="G2" s="5">
        <v>18.137353923447481</v>
      </c>
      <c r="H2" s="5">
        <v>6.8908883176245768</v>
      </c>
      <c r="I2" s="5">
        <v>76.147698407781419</v>
      </c>
      <c r="J2" s="5">
        <v>21.116883116883134</v>
      </c>
      <c r="K2" s="5">
        <v>78.88311688311687</v>
      </c>
      <c r="L2" s="5">
        <v>53.16274469780366</v>
      </c>
    </row>
    <row r="3" spans="1:12">
      <c r="A3" s="3" t="s">
        <v>15</v>
      </c>
      <c r="B3" s="3" t="s">
        <v>13</v>
      </c>
      <c r="C3" s="3" t="s">
        <v>14</v>
      </c>
      <c r="D3" s="3">
        <v>1</v>
      </c>
      <c r="E3" s="3">
        <v>2</v>
      </c>
      <c r="F3" s="4">
        <v>5.45</v>
      </c>
      <c r="G3" s="10" t="s">
        <v>16</v>
      </c>
      <c r="H3" s="5">
        <v>2.9820261437909235</v>
      </c>
      <c r="I3" s="5">
        <v>78.974411151243828</v>
      </c>
      <c r="J3" s="5">
        <v>25.792402613113918</v>
      </c>
      <c r="K3" s="5">
        <v>74.207597386886093</v>
      </c>
      <c r="L3" s="5">
        <v>71.22557124309516</v>
      </c>
    </row>
    <row r="4" spans="1:12">
      <c r="A4" s="3" t="s">
        <v>17</v>
      </c>
      <c r="B4" s="3" t="s">
        <v>13</v>
      </c>
      <c r="C4" s="3" t="s">
        <v>14</v>
      </c>
      <c r="D4" s="3">
        <v>1</v>
      </c>
      <c r="E4" s="3">
        <v>3</v>
      </c>
      <c r="F4" s="4">
        <v>5.75</v>
      </c>
      <c r="G4" s="5">
        <v>14.384187467930783</v>
      </c>
      <c r="H4" s="5">
        <v>6.2211981566816075</v>
      </c>
      <c r="I4" s="5">
        <v>77.874115129232294</v>
      </c>
      <c r="J4" s="5">
        <v>31.448412698412721</v>
      </c>
      <c r="K4" s="5">
        <v>68.551587301587276</v>
      </c>
      <c r="L4" s="5">
        <v>47.946201676974894</v>
      </c>
    </row>
    <row r="5" spans="1:12">
      <c r="A5" s="3" t="s">
        <v>18</v>
      </c>
      <c r="B5" s="3" t="s">
        <v>13</v>
      </c>
      <c r="C5" s="3" t="s">
        <v>14</v>
      </c>
      <c r="D5" s="3">
        <v>4</v>
      </c>
      <c r="E5" s="3">
        <v>1</v>
      </c>
      <c r="F5" s="4">
        <v>7.5</v>
      </c>
      <c r="G5" s="5">
        <v>11.920455976658953</v>
      </c>
      <c r="H5" s="5">
        <v>6.4901349948078932</v>
      </c>
      <c r="I5" s="5">
        <v>75.623476467279218</v>
      </c>
      <c r="J5" s="5">
        <v>17.769230769230742</v>
      </c>
      <c r="K5" s="5">
        <v>82.230769230769255</v>
      </c>
      <c r="L5" s="5">
        <v>62.914182886183156</v>
      </c>
    </row>
    <row r="6" spans="1:12">
      <c r="A6" s="3" t="s">
        <v>19</v>
      </c>
      <c r="B6" s="3" t="s">
        <v>13</v>
      </c>
      <c r="C6" s="3" t="s">
        <v>14</v>
      </c>
      <c r="D6" s="3">
        <v>4</v>
      </c>
      <c r="E6" s="3">
        <v>2</v>
      </c>
      <c r="F6" s="4">
        <v>7.3</v>
      </c>
      <c r="G6" s="5">
        <v>14.46120362724297</v>
      </c>
      <c r="H6" s="5">
        <v>4.9611734253670869</v>
      </c>
      <c r="I6" s="5">
        <v>77.673448095983318</v>
      </c>
      <c r="J6" s="5">
        <v>29.322429906542048</v>
      </c>
      <c r="K6" s="5">
        <v>70.677570093457959</v>
      </c>
      <c r="L6" s="5">
        <v>51.311081750518404</v>
      </c>
    </row>
    <row r="7" spans="1:12">
      <c r="A7" s="3" t="s">
        <v>20</v>
      </c>
      <c r="B7" s="3" t="s">
        <v>13</v>
      </c>
      <c r="C7" s="3" t="s">
        <v>14</v>
      </c>
      <c r="D7" s="3">
        <v>4</v>
      </c>
      <c r="E7" s="3">
        <v>3</v>
      </c>
      <c r="F7" s="4">
        <v>5.35</v>
      </c>
      <c r="G7" s="5">
        <v>17.76154120024875</v>
      </c>
      <c r="H7" s="5">
        <v>9.2638750415421214</v>
      </c>
      <c r="I7" s="5">
        <v>69.911753133606879</v>
      </c>
      <c r="J7" s="5">
        <v>35.00840650102748</v>
      </c>
      <c r="K7" s="5">
        <v>64.99159349897252</v>
      </c>
      <c r="L7" s="5">
        <v>37.966177257181648</v>
      </c>
    </row>
    <row r="8" spans="1:12">
      <c r="A8" s="3" t="s">
        <v>21</v>
      </c>
      <c r="B8" s="3" t="s">
        <v>13</v>
      </c>
      <c r="C8" s="3" t="s">
        <v>14</v>
      </c>
      <c r="D8" s="3">
        <v>7</v>
      </c>
      <c r="E8" s="3">
        <v>1</v>
      </c>
      <c r="F8" s="4">
        <v>6.3</v>
      </c>
      <c r="G8" s="5">
        <v>16.040978648820904</v>
      </c>
      <c r="H8" s="5">
        <v>6.4620995876946914</v>
      </c>
      <c r="I8" s="5">
        <v>73.126836434867784</v>
      </c>
      <c r="J8" s="5">
        <v>37.129840546697039</v>
      </c>
      <c r="K8" s="5">
        <v>62.870159453302961</v>
      </c>
      <c r="L8" s="5">
        <v>40.367081216787362</v>
      </c>
    </row>
    <row r="9" spans="1:12">
      <c r="A9" s="3" t="s">
        <v>22</v>
      </c>
      <c r="B9" s="3" t="s">
        <v>13</v>
      </c>
      <c r="C9" s="3" t="s">
        <v>14</v>
      </c>
      <c r="D9" s="3">
        <v>7</v>
      </c>
      <c r="E9" s="3">
        <v>2</v>
      </c>
      <c r="F9" s="4">
        <v>5.75</v>
      </c>
      <c r="G9" s="5">
        <v>15.877269667832168</v>
      </c>
      <c r="H9" s="5">
        <v>6.6246741963507372</v>
      </c>
      <c r="I9" s="5">
        <v>77.833448514167245</v>
      </c>
      <c r="J9" s="5">
        <v>15.796310730059751</v>
      </c>
      <c r="K9" s="5">
        <v>84.203689269940242</v>
      </c>
      <c r="L9" s="5">
        <v>61.701745405757343</v>
      </c>
    </row>
    <row r="10" spans="1:12">
      <c r="A10" s="3" t="s">
        <v>23</v>
      </c>
      <c r="B10" s="3" t="s">
        <v>13</v>
      </c>
      <c r="C10" s="3" t="s">
        <v>14</v>
      </c>
      <c r="D10" s="3">
        <v>7</v>
      </c>
      <c r="E10" s="3">
        <v>3</v>
      </c>
      <c r="F10" s="4">
        <v>5.65</v>
      </c>
      <c r="G10" s="5">
        <v>16.626342843760188</v>
      </c>
      <c r="H10" s="5">
        <v>6.9163292847498035</v>
      </c>
      <c r="I10" s="5">
        <v>73.735481453727985</v>
      </c>
      <c r="J10" s="5">
        <v>32.496433666191187</v>
      </c>
      <c r="K10" s="5">
        <v>67.503566333808806</v>
      </c>
      <c r="L10" s="5">
        <v>43.960894205298828</v>
      </c>
    </row>
    <row r="11" spans="1:12">
      <c r="A11" s="3" t="s">
        <v>24</v>
      </c>
      <c r="B11" s="3" t="s">
        <v>13</v>
      </c>
      <c r="C11" s="3">
        <v>13</v>
      </c>
      <c r="D11" s="3">
        <v>3</v>
      </c>
      <c r="E11" s="3">
        <v>1</v>
      </c>
      <c r="F11" s="4">
        <v>6.4</v>
      </c>
      <c r="G11" s="5">
        <v>17.54837810670934</v>
      </c>
      <c r="H11" s="5">
        <v>6.954038868933492</v>
      </c>
      <c r="I11" s="5">
        <v>76.373915330002632</v>
      </c>
      <c r="J11" s="5">
        <v>14.134668892598812</v>
      </c>
      <c r="K11" s="5">
        <v>85.86533110740119</v>
      </c>
      <c r="L11" s="5">
        <v>61.362914131758359</v>
      </c>
    </row>
    <row r="12" spans="1:12">
      <c r="A12" s="3" t="s">
        <v>25</v>
      </c>
      <c r="B12" s="3" t="s">
        <v>13</v>
      </c>
      <c r="C12" s="3">
        <v>13</v>
      </c>
      <c r="D12" s="3">
        <v>3</v>
      </c>
      <c r="E12" s="3">
        <v>2</v>
      </c>
      <c r="F12" s="4">
        <v>5.6</v>
      </c>
      <c r="G12" s="5">
        <v>15.065949988217024</v>
      </c>
      <c r="H12" s="5">
        <v>5.9648206199925573</v>
      </c>
      <c r="I12" s="5">
        <v>79.064576675290411</v>
      </c>
      <c r="J12" s="5">
        <v>21.371456263629735</v>
      </c>
      <c r="K12" s="5">
        <v>78.628543736370275</v>
      </c>
      <c r="L12" s="5">
        <v>57.597773128160682</v>
      </c>
    </row>
    <row r="13" spans="1:12">
      <c r="A13" s="3" t="s">
        <v>26</v>
      </c>
      <c r="B13" s="3" t="s">
        <v>13</v>
      </c>
      <c r="C13" s="3">
        <v>13</v>
      </c>
      <c r="D13" s="3">
        <v>3</v>
      </c>
      <c r="E13" s="3">
        <v>3</v>
      </c>
      <c r="F13" s="4">
        <v>5.4</v>
      </c>
      <c r="G13" s="5">
        <v>14.46740698322777</v>
      </c>
      <c r="H13" s="5">
        <v>6.4149560117306228</v>
      </c>
      <c r="I13" s="5">
        <v>78.788549914179725</v>
      </c>
      <c r="J13" s="5">
        <v>17.7760375880971</v>
      </c>
      <c r="K13" s="5">
        <v>82.223962411902903</v>
      </c>
      <c r="L13" s="5">
        <v>61.341599416944504</v>
      </c>
    </row>
    <row r="14" spans="1:12">
      <c r="A14" s="3" t="s">
        <v>27</v>
      </c>
      <c r="B14" s="3" t="s">
        <v>13</v>
      </c>
      <c r="C14" s="3">
        <v>13</v>
      </c>
      <c r="D14" s="3">
        <v>5</v>
      </c>
      <c r="E14" s="3">
        <v>1</v>
      </c>
      <c r="F14" s="4">
        <v>7.75</v>
      </c>
      <c r="G14" s="5">
        <v>17.387279469285247</v>
      </c>
      <c r="H14" s="5">
        <v>6.6345470342006587</v>
      </c>
      <c r="I14" s="5">
        <v>78.052618328298095</v>
      </c>
      <c r="J14" s="5">
        <v>20.303986234585594</v>
      </c>
      <c r="K14" s="5">
        <v>79.696013765414392</v>
      </c>
      <c r="L14" s="5">
        <v>55.674187261928502</v>
      </c>
    </row>
    <row r="15" spans="1:12">
      <c r="A15" s="3" t="s">
        <v>28</v>
      </c>
      <c r="B15" s="3" t="s">
        <v>13</v>
      </c>
      <c r="C15" s="3">
        <v>13</v>
      </c>
      <c r="D15" s="3">
        <v>5</v>
      </c>
      <c r="E15" s="3">
        <v>2</v>
      </c>
      <c r="F15" s="4">
        <v>5.35</v>
      </c>
      <c r="G15" s="5">
        <v>15.98192781211549</v>
      </c>
      <c r="H15" s="5">
        <v>7.3818897637778988</v>
      </c>
      <c r="I15" s="5">
        <v>76.814647604715319</v>
      </c>
      <c r="J15" s="5">
        <v>22.43617481609693</v>
      </c>
      <c r="K15" s="5">
        <v>77.563825183903063</v>
      </c>
      <c r="L15" s="5">
        <v>54.200007608009685</v>
      </c>
    </row>
    <row r="16" spans="1:12">
      <c r="A16" s="3" t="s">
        <v>29</v>
      </c>
      <c r="B16" s="3" t="s">
        <v>13</v>
      </c>
      <c r="C16" s="3">
        <v>13</v>
      </c>
      <c r="D16" s="3">
        <v>5</v>
      </c>
      <c r="E16" s="3">
        <v>3</v>
      </c>
      <c r="F16" s="4">
        <v>5.2</v>
      </c>
      <c r="G16" s="5">
        <v>15.888077876693195</v>
      </c>
      <c r="H16" s="5">
        <v>5.8017797941019351</v>
      </c>
      <c r="I16" s="5">
        <v>80.001158010537878</v>
      </c>
      <c r="J16" s="5">
        <v>13.983786913723211</v>
      </c>
      <c r="K16" s="5">
        <v>86.016213086276792</v>
      </c>
      <c r="L16" s="5">
        <v>64.326355415481657</v>
      </c>
    </row>
    <row r="17" spans="1:12">
      <c r="A17" s="3" t="s">
        <v>30</v>
      </c>
      <c r="B17" s="3" t="s">
        <v>13</v>
      </c>
      <c r="C17" s="3">
        <v>13</v>
      </c>
      <c r="D17" s="3">
        <v>2</v>
      </c>
      <c r="E17" s="3">
        <v>1</v>
      </c>
      <c r="F17" s="4">
        <v>6.5</v>
      </c>
      <c r="G17" s="5">
        <v>13.396727254129965</v>
      </c>
      <c r="H17" s="5">
        <v>6.1909416748125672</v>
      </c>
      <c r="I17" s="5">
        <v>76.501985289331515</v>
      </c>
      <c r="J17" s="5">
        <v>25.54016620498615</v>
      </c>
      <c r="K17" s="5">
        <v>74.45983379501385</v>
      </c>
      <c r="L17" s="5">
        <v>52.802338759509048</v>
      </c>
    </row>
    <row r="18" spans="1:12">
      <c r="A18" s="3" t="s">
        <v>31</v>
      </c>
      <c r="B18" s="3" t="s">
        <v>13</v>
      </c>
      <c r="C18" s="3">
        <v>13</v>
      </c>
      <c r="D18" s="3">
        <v>2</v>
      </c>
      <c r="E18" s="3">
        <v>2</v>
      </c>
      <c r="F18" s="4">
        <v>6.35</v>
      </c>
      <c r="G18" s="5">
        <v>16.345848067151785</v>
      </c>
      <c r="H18" s="5">
        <v>6.8548387096786856</v>
      </c>
      <c r="I18" s="5">
        <v>77.089128741515523</v>
      </c>
      <c r="J18" s="5">
        <v>19.815444390480803</v>
      </c>
      <c r="K18" s="5">
        <v>80.184555609519194</v>
      </c>
      <c r="L18" s="5">
        <v>54.276274367577699</v>
      </c>
    </row>
    <row r="19" spans="1:12">
      <c r="A19" s="3" t="s">
        <v>32</v>
      </c>
      <c r="B19" s="3" t="s">
        <v>13</v>
      </c>
      <c r="C19" s="3">
        <v>13</v>
      </c>
      <c r="D19" s="3">
        <v>2</v>
      </c>
      <c r="E19" s="3">
        <v>3</v>
      </c>
      <c r="F19" s="4">
        <v>4.05</v>
      </c>
      <c r="G19" s="5">
        <v>14.455366527899502</v>
      </c>
      <c r="H19" s="5">
        <v>5.66037735849127</v>
      </c>
      <c r="I19" s="5">
        <v>79.757308328736897</v>
      </c>
      <c r="J19" s="5">
        <v>29.873668565766661</v>
      </c>
      <c r="K19" s="5">
        <v>70.126331434233336</v>
      </c>
      <c r="L19" s="5">
        <v>50.010587547842569</v>
      </c>
    </row>
    <row r="20" spans="1:12">
      <c r="A20" s="3" t="s">
        <v>33</v>
      </c>
      <c r="B20" s="3" t="s">
        <v>13</v>
      </c>
      <c r="C20" s="3">
        <v>54</v>
      </c>
      <c r="D20" s="3">
        <v>9</v>
      </c>
      <c r="E20" s="3">
        <v>1</v>
      </c>
      <c r="F20" s="4">
        <v>5.65</v>
      </c>
      <c r="G20" s="5">
        <v>14.266343788513149</v>
      </c>
      <c r="H20" s="5">
        <v>7.3186959414513399</v>
      </c>
      <c r="I20" s="5">
        <v>75.421348314606746</v>
      </c>
      <c r="J20" s="5">
        <v>25.863354037267069</v>
      </c>
      <c r="K20" s="5">
        <v>74.136645962732928</v>
      </c>
      <c r="L20" s="5">
        <v>52.620194424059363</v>
      </c>
    </row>
    <row r="21" spans="1:12">
      <c r="A21" s="3" t="s">
        <v>34</v>
      </c>
      <c r="B21" s="3" t="s">
        <v>13</v>
      </c>
      <c r="C21" s="3">
        <v>54</v>
      </c>
      <c r="D21" s="3">
        <v>9</v>
      </c>
      <c r="E21" s="3">
        <v>2</v>
      </c>
      <c r="F21" s="4">
        <v>4.5</v>
      </c>
      <c r="G21" s="5">
        <v>17.736161439255188</v>
      </c>
      <c r="H21" s="5">
        <v>6.6109951287423332</v>
      </c>
      <c r="I21" s="5">
        <v>75.397313647082953</v>
      </c>
      <c r="J21" s="5">
        <v>27.297353615336551</v>
      </c>
      <c r="K21" s="5">
        <v>72.702646384663453</v>
      </c>
      <c r="L21" s="5">
        <v>48.355489816665923</v>
      </c>
    </row>
    <row r="22" spans="1:12">
      <c r="A22" s="3" t="s">
        <v>35</v>
      </c>
      <c r="B22" s="3" t="s">
        <v>13</v>
      </c>
      <c r="C22" s="3">
        <v>54</v>
      </c>
      <c r="D22" s="3">
        <v>9</v>
      </c>
      <c r="E22" s="3">
        <v>3</v>
      </c>
      <c r="F22" s="4">
        <v>6</v>
      </c>
      <c r="G22" s="5">
        <v>12.985785539534078</v>
      </c>
      <c r="H22" s="5">
        <v>7.1138211382113834</v>
      </c>
      <c r="I22" s="5">
        <v>76.604477611940311</v>
      </c>
      <c r="J22" s="5">
        <v>34.062428799270911</v>
      </c>
      <c r="K22" s="5">
        <v>65.937571200729096</v>
      </c>
      <c r="L22" s="5">
        <v>45.837964522983626</v>
      </c>
    </row>
    <row r="23" spans="1:12">
      <c r="A23" s="3" t="s">
        <v>36</v>
      </c>
      <c r="B23" s="3" t="s">
        <v>13</v>
      </c>
      <c r="C23" s="3">
        <v>54</v>
      </c>
      <c r="D23" s="3">
        <v>6</v>
      </c>
      <c r="E23" s="3">
        <v>1</v>
      </c>
      <c r="F23" s="4">
        <v>6.65</v>
      </c>
      <c r="G23" s="5">
        <v>15.150892594730353</v>
      </c>
      <c r="H23" s="5">
        <v>5.295566502464772</v>
      </c>
      <c r="I23" s="5">
        <v>75.44925021687942</v>
      </c>
      <c r="J23" s="5">
        <v>33.139828369510333</v>
      </c>
      <c r="K23" s="5">
        <v>66.860171630489674</v>
      </c>
      <c r="L23" s="5">
        <v>45.484771795621086</v>
      </c>
    </row>
    <row r="24" spans="1:12">
      <c r="A24" s="3" t="s">
        <v>37</v>
      </c>
      <c r="B24" s="3" t="s">
        <v>13</v>
      </c>
      <c r="C24" s="3">
        <v>54</v>
      </c>
      <c r="D24" s="3">
        <v>6</v>
      </c>
      <c r="E24" s="3">
        <v>2</v>
      </c>
      <c r="F24" s="4">
        <v>5.55</v>
      </c>
      <c r="G24" s="5">
        <v>14.169392760177907</v>
      </c>
      <c r="H24" s="5">
        <v>4.7511312217185662</v>
      </c>
      <c r="I24" s="5">
        <v>81.222605341593137</v>
      </c>
      <c r="J24" s="5">
        <v>14.939309056956102</v>
      </c>
      <c r="K24" s="5">
        <v>85.060690943043895</v>
      </c>
      <c r="L24" s="5">
        <v>66.140166961147429</v>
      </c>
    </row>
    <row r="25" spans="1:12">
      <c r="A25" s="3" t="s">
        <v>38</v>
      </c>
      <c r="B25" s="3" t="s">
        <v>13</v>
      </c>
      <c r="C25" s="3">
        <v>54</v>
      </c>
      <c r="D25" s="3">
        <v>6</v>
      </c>
      <c r="E25" s="3">
        <v>3</v>
      </c>
      <c r="F25" s="4">
        <v>5.4</v>
      </c>
      <c r="G25" s="5">
        <v>15.664333674768518</v>
      </c>
      <c r="H25" s="5">
        <v>6.9649295313023298</v>
      </c>
      <c r="I25" s="5">
        <v>74.536709577026457</v>
      </c>
      <c r="J25" s="5">
        <v>22.111111111111054</v>
      </c>
      <c r="K25" s="5">
        <v>77.888888888888943</v>
      </c>
      <c r="L25" s="5">
        <v>54.725787631584517</v>
      </c>
    </row>
    <row r="26" spans="1:12">
      <c r="A26" s="3" t="s">
        <v>39</v>
      </c>
      <c r="B26" s="3" t="s">
        <v>13</v>
      </c>
      <c r="C26" s="3">
        <v>54</v>
      </c>
      <c r="D26" s="3">
        <v>8</v>
      </c>
      <c r="E26" s="3">
        <v>1</v>
      </c>
      <c r="F26" s="4">
        <v>5.85</v>
      </c>
      <c r="G26" s="5">
        <v>12.474350688668348</v>
      </c>
      <c r="H26" s="5">
        <v>4.6978895634583022</v>
      </c>
      <c r="I26" s="5">
        <v>69.543605964753738</v>
      </c>
      <c r="J26" s="5">
        <v>50.906693043191552</v>
      </c>
      <c r="K26" s="5">
        <v>49.093306956808441</v>
      </c>
      <c r="L26" s="5">
        <v>32.858823836871906</v>
      </c>
    </row>
    <row r="27" spans="1:12">
      <c r="A27" s="3" t="s">
        <v>40</v>
      </c>
      <c r="B27" s="3" t="s">
        <v>13</v>
      </c>
      <c r="C27" s="3">
        <v>54</v>
      </c>
      <c r="D27" s="3">
        <v>8</v>
      </c>
      <c r="E27" s="3">
        <v>2</v>
      </c>
      <c r="F27" s="4">
        <v>5.45</v>
      </c>
      <c r="G27" s="5">
        <v>15.414132372420635</v>
      </c>
      <c r="H27" s="5">
        <v>9.1697360343781771</v>
      </c>
      <c r="I27" s="5">
        <v>76.470253991704055</v>
      </c>
      <c r="J27" s="5">
        <v>26.805119536343895</v>
      </c>
      <c r="K27" s="5">
        <v>73.194880463656105</v>
      </c>
      <c r="L27" s="5">
        <v>50.367052453715338</v>
      </c>
    </row>
    <row r="28" spans="1:12">
      <c r="A28" s="3" t="s">
        <v>41</v>
      </c>
      <c r="B28" s="3" t="s">
        <v>13</v>
      </c>
      <c r="C28" s="3">
        <v>54</v>
      </c>
      <c r="D28" s="3">
        <v>8</v>
      </c>
      <c r="E28" s="3">
        <v>3</v>
      </c>
      <c r="F28" s="4">
        <v>5.45</v>
      </c>
      <c r="G28" s="5">
        <v>15.739025461742907</v>
      </c>
      <c r="H28" s="5">
        <v>7.190265486724992</v>
      </c>
      <c r="I28" s="5">
        <v>77.658712291760452</v>
      </c>
      <c r="J28" s="5">
        <v>16.041918581217256</v>
      </c>
      <c r="K28" s="5">
        <v>83.958081418782754</v>
      </c>
      <c r="L28" s="5">
        <v>60.027216122749394</v>
      </c>
    </row>
    <row r="29" spans="1:12">
      <c r="A29" s="3" t="s">
        <v>42</v>
      </c>
      <c r="B29" s="3" t="s">
        <v>43</v>
      </c>
      <c r="C29" s="3" t="s">
        <v>14</v>
      </c>
      <c r="D29" s="3">
        <v>1</v>
      </c>
      <c r="E29" s="3">
        <v>1</v>
      </c>
      <c r="F29" s="4">
        <v>5.45</v>
      </c>
      <c r="G29" s="5">
        <v>14.325341874271555</v>
      </c>
      <c r="H29" s="5">
        <v>7.1649484536099335</v>
      </c>
      <c r="I29" s="5">
        <v>81.59876754536117</v>
      </c>
      <c r="J29" s="5">
        <v>20.697674418604663</v>
      </c>
      <c r="K29" s="5">
        <v>79.302325581395337</v>
      </c>
      <c r="L29" s="5">
        <v>57.812035253513848</v>
      </c>
    </row>
    <row r="30" spans="1:12">
      <c r="A30" s="3" t="s">
        <v>44</v>
      </c>
      <c r="B30" s="3" t="s">
        <v>43</v>
      </c>
      <c r="C30" s="3" t="s">
        <v>14</v>
      </c>
      <c r="D30" s="3">
        <v>1</v>
      </c>
      <c r="E30" s="3">
        <v>2</v>
      </c>
      <c r="F30" s="4">
        <v>5.5</v>
      </c>
      <c r="G30" s="5">
        <v>16.914102223926385</v>
      </c>
      <c r="H30" s="5">
        <v>5.5953446732318701</v>
      </c>
      <c r="I30" s="5">
        <v>80.51144910579977</v>
      </c>
      <c r="J30" s="5">
        <v>19.039451114922809</v>
      </c>
      <c r="K30" s="5">
        <v>80.960548885077188</v>
      </c>
      <c r="L30" s="5">
        <v>58.451101987918932</v>
      </c>
    </row>
    <row r="31" spans="1:12">
      <c r="A31" s="3" t="s">
        <v>45</v>
      </c>
      <c r="B31" s="3" t="s">
        <v>43</v>
      </c>
      <c r="C31" s="3" t="s">
        <v>14</v>
      </c>
      <c r="D31" s="3">
        <v>1</v>
      </c>
      <c r="E31" s="3">
        <v>3</v>
      </c>
      <c r="F31" s="4">
        <v>5</v>
      </c>
      <c r="G31" s="5">
        <v>12.996767822128859</v>
      </c>
      <c r="H31" s="5">
        <v>4.618320610687161</v>
      </c>
      <c r="I31" s="5">
        <v>69.112967382657118</v>
      </c>
      <c r="J31" s="5">
        <v>60.914359304571789</v>
      </c>
      <c r="K31" s="9">
        <v>39.085640695428211</v>
      </c>
      <c r="L31" s="9">
        <v>21.470552262612188</v>
      </c>
    </row>
    <row r="32" spans="1:12">
      <c r="A32" s="3" t="s">
        <v>46</v>
      </c>
      <c r="B32" s="3" t="s">
        <v>43</v>
      </c>
      <c r="C32" s="3" t="s">
        <v>14</v>
      </c>
      <c r="D32" s="3">
        <v>1</v>
      </c>
      <c r="E32" s="3">
        <v>4</v>
      </c>
      <c r="F32" s="4">
        <v>8.75</v>
      </c>
      <c r="G32" s="5">
        <v>22.013092760784815</v>
      </c>
      <c r="H32" s="5">
        <v>5.7894736842098631</v>
      </c>
      <c r="I32" s="5">
        <v>79.810862937846068</v>
      </c>
      <c r="J32" s="5">
        <v>23.081664098613267</v>
      </c>
      <c r="K32" s="5">
        <v>76.91833590138674</v>
      </c>
      <c r="L32" s="5">
        <v>52.01641164328246</v>
      </c>
    </row>
    <row r="33" spans="1:12">
      <c r="A33" s="3" t="s">
        <v>47</v>
      </c>
      <c r="B33" s="3" t="s">
        <v>43</v>
      </c>
      <c r="C33" s="3" t="s">
        <v>14</v>
      </c>
      <c r="D33" s="3">
        <v>1</v>
      </c>
      <c r="E33" s="3">
        <v>5</v>
      </c>
      <c r="F33" s="4">
        <v>5.15</v>
      </c>
      <c r="G33" s="5">
        <v>18.471780363606459</v>
      </c>
      <c r="H33" s="10" t="s">
        <v>16</v>
      </c>
      <c r="I33" s="5">
        <v>78.361800509578188</v>
      </c>
      <c r="J33" s="5">
        <v>18.883558656781528</v>
      </c>
      <c r="K33" s="5">
        <v>81.116441343218483</v>
      </c>
      <c r="L33" s="10" t="s">
        <v>16</v>
      </c>
    </row>
    <row r="34" spans="1:12">
      <c r="A34" s="3" t="s">
        <v>48</v>
      </c>
      <c r="B34" s="3" t="s">
        <v>43</v>
      </c>
      <c r="C34" s="3" t="s">
        <v>14</v>
      </c>
      <c r="D34" s="3">
        <v>1</v>
      </c>
      <c r="E34" s="3">
        <v>6</v>
      </c>
      <c r="F34" s="4">
        <v>6</v>
      </c>
      <c r="G34" s="5" t="s">
        <v>16</v>
      </c>
      <c r="H34" s="5" t="s">
        <v>16</v>
      </c>
      <c r="I34" s="5" t="s">
        <v>16</v>
      </c>
      <c r="J34" s="5" t="s">
        <v>16</v>
      </c>
      <c r="K34" s="5" t="s">
        <v>16</v>
      </c>
      <c r="L34" s="5" t="s">
        <v>16</v>
      </c>
    </row>
    <row r="35" spans="1:12">
      <c r="A35" s="3" t="s">
        <v>49</v>
      </c>
      <c r="B35" s="3" t="s">
        <v>43</v>
      </c>
      <c r="C35" s="3" t="s">
        <v>14</v>
      </c>
      <c r="D35" s="3">
        <v>1</v>
      </c>
      <c r="E35" s="3">
        <v>7</v>
      </c>
      <c r="F35" s="4">
        <v>8.25</v>
      </c>
      <c r="G35" s="5" t="s">
        <v>16</v>
      </c>
      <c r="H35" s="5" t="s">
        <v>16</v>
      </c>
      <c r="I35" s="5" t="s">
        <v>16</v>
      </c>
      <c r="J35" s="5" t="s">
        <v>16</v>
      </c>
      <c r="K35" s="5" t="s">
        <v>16</v>
      </c>
      <c r="L35" s="5" t="s">
        <v>16</v>
      </c>
    </row>
    <row r="36" spans="1:12">
      <c r="A36" s="3" t="s">
        <v>50</v>
      </c>
      <c r="B36" s="3" t="s">
        <v>43</v>
      </c>
      <c r="C36" s="3" t="s">
        <v>14</v>
      </c>
      <c r="D36" s="3">
        <v>1</v>
      </c>
      <c r="E36" s="3">
        <v>8</v>
      </c>
      <c r="F36" s="4">
        <v>7.55</v>
      </c>
      <c r="G36" s="5" t="s">
        <v>16</v>
      </c>
      <c r="H36" s="5" t="s">
        <v>16</v>
      </c>
      <c r="I36" s="5" t="s">
        <v>16</v>
      </c>
      <c r="J36" s="5" t="s">
        <v>16</v>
      </c>
      <c r="K36" s="5" t="s">
        <v>16</v>
      </c>
      <c r="L36" s="5" t="s">
        <v>16</v>
      </c>
    </row>
    <row r="37" spans="1:12">
      <c r="A37" s="3" t="s">
        <v>51</v>
      </c>
      <c r="B37" s="3" t="s">
        <v>43</v>
      </c>
      <c r="C37" s="3" t="s">
        <v>14</v>
      </c>
      <c r="D37" s="3">
        <v>4</v>
      </c>
      <c r="E37" s="3">
        <v>1</v>
      </c>
      <c r="F37" s="4">
        <v>7.3</v>
      </c>
      <c r="G37" s="5">
        <v>17.510826075268813</v>
      </c>
      <c r="H37" s="5">
        <v>6.2141491395802229</v>
      </c>
      <c r="I37" s="5">
        <v>79.663123873453927</v>
      </c>
      <c r="J37" s="5">
        <v>19.529339853300744</v>
      </c>
      <c r="K37" s="5">
        <v>80.470660146699245</v>
      </c>
      <c r="L37" s="5">
        <v>56.745684931850221</v>
      </c>
    </row>
    <row r="38" spans="1:12">
      <c r="A38" s="3" t="s">
        <v>52</v>
      </c>
      <c r="B38" s="3" t="s">
        <v>43</v>
      </c>
      <c r="C38" s="3" t="s">
        <v>14</v>
      </c>
      <c r="D38" s="3">
        <v>4</v>
      </c>
      <c r="E38" s="3">
        <v>2</v>
      </c>
      <c r="F38" s="4">
        <v>8.15</v>
      </c>
      <c r="G38" s="5">
        <v>14.779284184587809</v>
      </c>
      <c r="H38" s="5">
        <v>6.3306451612909838</v>
      </c>
      <c r="I38" s="5">
        <v>78.94465894465894</v>
      </c>
      <c r="J38" s="5">
        <v>18.484107579462105</v>
      </c>
      <c r="K38" s="5">
        <v>81.515892420537895</v>
      </c>
      <c r="L38" s="5">
        <v>60.405963074659098</v>
      </c>
    </row>
    <row r="39" spans="1:12">
      <c r="A39" s="3" t="s">
        <v>53</v>
      </c>
      <c r="B39" s="3" t="s">
        <v>43</v>
      </c>
      <c r="C39" s="3" t="s">
        <v>14</v>
      </c>
      <c r="D39" s="3">
        <v>4</v>
      </c>
      <c r="E39" s="3">
        <v>3</v>
      </c>
      <c r="F39" s="4">
        <v>6.95</v>
      </c>
      <c r="G39" s="5">
        <v>18.521034933916933</v>
      </c>
      <c r="H39" s="5">
        <v>5.0520833333322903</v>
      </c>
      <c r="I39" s="5">
        <v>82.278248067721762</v>
      </c>
      <c r="J39" s="5">
        <v>18.553132571824168</v>
      </c>
      <c r="K39" s="5">
        <v>81.446867428175835</v>
      </c>
      <c r="L39" s="5">
        <v>57.873749160926607</v>
      </c>
    </row>
    <row r="40" spans="1:12">
      <c r="A40" s="3" t="s">
        <v>54</v>
      </c>
      <c r="B40" s="3" t="s">
        <v>43</v>
      </c>
      <c r="C40" s="3" t="s">
        <v>14</v>
      </c>
      <c r="D40" s="3">
        <v>4</v>
      </c>
      <c r="E40" s="3">
        <v>4</v>
      </c>
      <c r="F40" s="4">
        <v>6.1</v>
      </c>
      <c r="G40" s="5">
        <v>13.909934968168358</v>
      </c>
      <c r="H40" s="5">
        <v>4.8962655601652969</v>
      </c>
      <c r="I40" s="5">
        <v>83.392259024934887</v>
      </c>
      <c r="J40" s="5">
        <v>18.319327731092461</v>
      </c>
      <c r="K40" s="5">
        <v>81.680672268907543</v>
      </c>
      <c r="L40" s="5">
        <v>62.38725860683769</v>
      </c>
    </row>
    <row r="41" spans="1:12">
      <c r="A41" s="3" t="s">
        <v>55</v>
      </c>
      <c r="B41" s="3" t="s">
        <v>43</v>
      </c>
      <c r="C41" s="3" t="s">
        <v>14</v>
      </c>
      <c r="D41" s="3">
        <v>4</v>
      </c>
      <c r="E41" s="3">
        <v>5</v>
      </c>
      <c r="F41" s="4">
        <v>4.1500000000000004</v>
      </c>
      <c r="G41" s="5">
        <v>19.299056574294926</v>
      </c>
      <c r="H41" s="5">
        <v>6.2836624775587566</v>
      </c>
      <c r="I41" s="5">
        <v>78.010195113376696</v>
      </c>
      <c r="J41" s="5">
        <v>19.797495337063662</v>
      </c>
      <c r="K41" s="5">
        <v>80.202504662936335</v>
      </c>
      <c r="L41" s="5">
        <v>54.301960342704511</v>
      </c>
    </row>
    <row r="42" spans="1:12">
      <c r="A42" s="3" t="s">
        <v>56</v>
      </c>
      <c r="B42" s="3" t="s">
        <v>43</v>
      </c>
      <c r="C42" s="3" t="s">
        <v>14</v>
      </c>
      <c r="D42" s="3">
        <v>4</v>
      </c>
      <c r="E42" s="3">
        <v>6</v>
      </c>
      <c r="F42" s="4">
        <v>5.3</v>
      </c>
      <c r="G42" s="5" t="s">
        <v>16</v>
      </c>
      <c r="H42" s="5" t="s">
        <v>16</v>
      </c>
      <c r="I42" s="5" t="s">
        <v>16</v>
      </c>
      <c r="J42" s="5" t="s">
        <v>16</v>
      </c>
      <c r="K42" s="5" t="s">
        <v>16</v>
      </c>
      <c r="L42" s="5" t="s">
        <v>16</v>
      </c>
    </row>
    <row r="43" spans="1:12">
      <c r="A43" s="3" t="s">
        <v>57</v>
      </c>
      <c r="B43" s="3" t="s">
        <v>43</v>
      </c>
      <c r="C43" s="3" t="s">
        <v>14</v>
      </c>
      <c r="D43" s="3">
        <v>4</v>
      </c>
      <c r="E43" s="3">
        <v>7</v>
      </c>
      <c r="F43" s="4">
        <v>7.4</v>
      </c>
      <c r="G43" s="5" t="s">
        <v>16</v>
      </c>
      <c r="H43" s="5" t="s">
        <v>16</v>
      </c>
      <c r="I43" s="5" t="s">
        <v>16</v>
      </c>
      <c r="J43" s="5" t="s">
        <v>16</v>
      </c>
      <c r="K43" s="5" t="s">
        <v>16</v>
      </c>
      <c r="L43" s="5" t="s">
        <v>16</v>
      </c>
    </row>
    <row r="44" spans="1:12">
      <c r="A44" s="3" t="s">
        <v>58</v>
      </c>
      <c r="B44" s="3" t="s">
        <v>43</v>
      </c>
      <c r="C44" s="3" t="s">
        <v>14</v>
      </c>
      <c r="D44" s="3">
        <v>4</v>
      </c>
      <c r="E44" s="3">
        <v>8</v>
      </c>
      <c r="F44" s="4">
        <v>7.95</v>
      </c>
      <c r="G44" s="5" t="s">
        <v>16</v>
      </c>
      <c r="H44" s="5" t="s">
        <v>16</v>
      </c>
      <c r="I44" s="5" t="s">
        <v>16</v>
      </c>
      <c r="J44" s="5" t="s">
        <v>16</v>
      </c>
      <c r="K44" s="5" t="s">
        <v>16</v>
      </c>
      <c r="L44" s="5" t="s">
        <v>16</v>
      </c>
    </row>
    <row r="45" spans="1:12">
      <c r="A45" s="3" t="s">
        <v>59</v>
      </c>
      <c r="B45" s="3" t="s">
        <v>43</v>
      </c>
      <c r="C45" s="3" t="s">
        <v>14</v>
      </c>
      <c r="D45" s="3">
        <v>7</v>
      </c>
      <c r="E45" s="3">
        <v>1</v>
      </c>
      <c r="F45" s="4">
        <v>5.15</v>
      </c>
      <c r="G45" s="5">
        <v>15.684765931491572</v>
      </c>
      <c r="H45" s="5">
        <v>5.9959349593487596</v>
      </c>
      <c r="I45" s="5">
        <v>79.27897383737357</v>
      </c>
      <c r="J45" s="5">
        <v>27.215707662939742</v>
      </c>
      <c r="K45" s="5">
        <v>72.784292337060265</v>
      </c>
      <c r="L45" s="5">
        <v>51.541797816174885</v>
      </c>
    </row>
    <row r="46" spans="1:12">
      <c r="A46" s="3" t="s">
        <v>60</v>
      </c>
      <c r="B46" s="3" t="s">
        <v>43</v>
      </c>
      <c r="C46" s="3" t="s">
        <v>14</v>
      </c>
      <c r="D46" s="3">
        <v>7</v>
      </c>
      <c r="E46" s="3">
        <v>2</v>
      </c>
      <c r="F46" s="4">
        <v>4.8</v>
      </c>
      <c r="G46" s="5">
        <v>16.455458615173669</v>
      </c>
      <c r="H46" s="5">
        <v>5.4285714285708222</v>
      </c>
      <c r="I46" s="5">
        <v>80.628923368470936</v>
      </c>
      <c r="J46" s="5">
        <v>20.483032711708969</v>
      </c>
      <c r="K46" s="5">
        <v>79.516967288291028</v>
      </c>
      <c r="L46" s="5">
        <v>57.63293724454654</v>
      </c>
    </row>
    <row r="47" spans="1:12">
      <c r="A47" s="3" t="s">
        <v>61</v>
      </c>
      <c r="B47" s="3" t="s">
        <v>43</v>
      </c>
      <c r="C47" s="3" t="s">
        <v>14</v>
      </c>
      <c r="D47" s="3">
        <v>7</v>
      </c>
      <c r="E47" s="3">
        <v>3</v>
      </c>
      <c r="F47" s="4">
        <v>7.05</v>
      </c>
      <c r="G47" s="5">
        <v>15.828414529274781</v>
      </c>
      <c r="H47" s="5">
        <v>5.1150895140676607</v>
      </c>
      <c r="I47" s="5">
        <v>81.422480161080173</v>
      </c>
      <c r="J47" s="5">
        <v>17.182021039209435</v>
      </c>
      <c r="K47" s="5">
        <v>82.817978960790569</v>
      </c>
      <c r="L47" s="5">
        <v>61.874474917448126</v>
      </c>
    </row>
    <row r="48" spans="1:12">
      <c r="A48" s="3" t="s">
        <v>62</v>
      </c>
      <c r="B48" s="3" t="s">
        <v>43</v>
      </c>
      <c r="C48" s="3" t="s">
        <v>14</v>
      </c>
      <c r="D48" s="3">
        <v>7</v>
      </c>
      <c r="E48" s="3">
        <v>4</v>
      </c>
      <c r="F48" s="4">
        <v>6.5</v>
      </c>
      <c r="G48" s="5">
        <v>16.514767303018669</v>
      </c>
      <c r="H48" s="5">
        <v>5.601092896174948</v>
      </c>
      <c r="I48" s="5">
        <v>80.436675789997508</v>
      </c>
      <c r="J48" s="5">
        <v>30.42925278219392</v>
      </c>
      <c r="K48" s="5">
        <v>69.570747217806073</v>
      </c>
      <c r="L48" s="5">
        <v>47.454887018612467</v>
      </c>
    </row>
    <row r="49" spans="1:12">
      <c r="A49" s="3" t="s">
        <v>63</v>
      </c>
      <c r="B49" s="3" t="s">
        <v>43</v>
      </c>
      <c r="C49" s="3" t="s">
        <v>14</v>
      </c>
      <c r="D49" s="3">
        <v>7</v>
      </c>
      <c r="E49" s="3">
        <v>5</v>
      </c>
      <c r="F49" s="4">
        <v>7.3</v>
      </c>
      <c r="G49" s="5">
        <v>17.669734076168933</v>
      </c>
      <c r="H49" s="5">
        <v>6.5510597302489071</v>
      </c>
      <c r="I49" s="5">
        <v>80.387273836145567</v>
      </c>
      <c r="J49" s="5">
        <v>25.861622181912431</v>
      </c>
      <c r="K49" s="5">
        <v>74.138377818087577</v>
      </c>
      <c r="L49" s="5">
        <v>49.917584011669732</v>
      </c>
    </row>
    <row r="50" spans="1:12">
      <c r="A50" s="3" t="s">
        <v>64</v>
      </c>
      <c r="B50" s="3" t="s">
        <v>43</v>
      </c>
      <c r="C50" s="3" t="s">
        <v>14</v>
      </c>
      <c r="D50" s="3">
        <v>7</v>
      </c>
      <c r="E50" s="3">
        <v>6</v>
      </c>
      <c r="F50" s="4">
        <v>5.5</v>
      </c>
      <c r="G50" s="5" t="s">
        <v>16</v>
      </c>
      <c r="H50" s="5" t="s">
        <v>16</v>
      </c>
      <c r="I50" s="5" t="s">
        <v>16</v>
      </c>
      <c r="J50" s="5" t="s">
        <v>16</v>
      </c>
      <c r="K50" s="5" t="s">
        <v>16</v>
      </c>
      <c r="L50" s="5" t="s">
        <v>16</v>
      </c>
    </row>
    <row r="51" spans="1:12">
      <c r="A51" s="3" t="s">
        <v>65</v>
      </c>
      <c r="B51" s="3" t="s">
        <v>43</v>
      </c>
      <c r="C51" s="3" t="s">
        <v>14</v>
      </c>
      <c r="D51" s="3">
        <v>7</v>
      </c>
      <c r="E51" s="3">
        <v>7</v>
      </c>
      <c r="F51" s="4">
        <v>9.9499999999999993</v>
      </c>
      <c r="G51" s="5" t="s">
        <v>16</v>
      </c>
      <c r="H51" s="5" t="s">
        <v>16</v>
      </c>
      <c r="I51" s="5" t="s">
        <v>16</v>
      </c>
      <c r="J51" s="5" t="s">
        <v>16</v>
      </c>
      <c r="K51" s="5" t="s">
        <v>16</v>
      </c>
      <c r="L51" s="5" t="s">
        <v>16</v>
      </c>
    </row>
    <row r="52" spans="1:12">
      <c r="A52" s="3" t="s">
        <v>66</v>
      </c>
      <c r="B52" s="3" t="s">
        <v>43</v>
      </c>
      <c r="C52" s="3" t="s">
        <v>14</v>
      </c>
      <c r="D52" s="3">
        <v>7</v>
      </c>
      <c r="E52" s="3">
        <v>8</v>
      </c>
      <c r="F52" s="4">
        <v>5.45</v>
      </c>
      <c r="G52" s="5" t="s">
        <v>16</v>
      </c>
      <c r="H52" s="5" t="s">
        <v>16</v>
      </c>
      <c r="I52" s="5" t="s">
        <v>16</v>
      </c>
      <c r="J52" s="5" t="s">
        <v>16</v>
      </c>
      <c r="K52" s="5" t="s">
        <v>16</v>
      </c>
      <c r="L52" s="5" t="s">
        <v>16</v>
      </c>
    </row>
    <row r="53" spans="1:12">
      <c r="A53" s="3" t="s">
        <v>67</v>
      </c>
      <c r="B53" s="3" t="s">
        <v>43</v>
      </c>
      <c r="C53" s="3">
        <v>13</v>
      </c>
      <c r="D53" s="3">
        <v>3</v>
      </c>
      <c r="E53" s="3">
        <v>1</v>
      </c>
      <c r="F53" s="4">
        <v>5.55</v>
      </c>
      <c r="G53" s="5">
        <v>13.56728973277227</v>
      </c>
      <c r="H53" s="5">
        <v>5.3822295201618804</v>
      </c>
      <c r="I53" s="5">
        <v>79.605860972285313</v>
      </c>
      <c r="J53" s="5">
        <v>34.447229184071254</v>
      </c>
      <c r="K53" s="5">
        <v>65.552770815928739</v>
      </c>
      <c r="L53" s="5">
        <v>47.141219531121934</v>
      </c>
    </row>
    <row r="54" spans="1:12">
      <c r="A54" s="3" t="s">
        <v>68</v>
      </c>
      <c r="B54" s="3" t="s">
        <v>43</v>
      </c>
      <c r="C54" s="3">
        <v>13</v>
      </c>
      <c r="D54" s="3">
        <v>3</v>
      </c>
      <c r="E54" s="3">
        <v>2</v>
      </c>
      <c r="F54" s="4">
        <v>6.15</v>
      </c>
      <c r="G54" s="5">
        <v>17.22759472092115</v>
      </c>
      <c r="H54" s="5">
        <v>5.0600885515512131</v>
      </c>
      <c r="I54" s="5">
        <v>79.746081217343473</v>
      </c>
      <c r="J54" s="5">
        <v>23.670513690880306</v>
      </c>
      <c r="K54" s="5">
        <v>76.329486309119702</v>
      </c>
      <c r="L54" s="5">
        <v>54.04180303664733</v>
      </c>
    </row>
    <row r="55" spans="1:12">
      <c r="A55" s="3" t="s">
        <v>69</v>
      </c>
      <c r="B55" s="3" t="s">
        <v>43</v>
      </c>
      <c r="C55" s="3">
        <v>13</v>
      </c>
      <c r="D55" s="3">
        <v>3</v>
      </c>
      <c r="E55" s="3">
        <v>3</v>
      </c>
      <c r="F55" s="4">
        <v>6.05</v>
      </c>
      <c r="G55" s="5">
        <v>16.092915954170554</v>
      </c>
      <c r="H55" s="5">
        <v>5.3510063819349298</v>
      </c>
      <c r="I55" s="5">
        <v>79.354295339696804</v>
      </c>
      <c r="J55" s="5">
        <v>16.154473755779168</v>
      </c>
      <c r="K55" s="5">
        <v>83.845526244220821</v>
      </c>
      <c r="L55" s="5">
        <v>65.288748121936777</v>
      </c>
    </row>
    <row r="56" spans="1:12">
      <c r="A56" s="3" t="s">
        <v>70</v>
      </c>
      <c r="B56" s="3" t="s">
        <v>43</v>
      </c>
      <c r="C56" s="3">
        <v>13</v>
      </c>
      <c r="D56" s="3">
        <v>3</v>
      </c>
      <c r="E56" s="3">
        <v>4</v>
      </c>
      <c r="F56" s="4">
        <v>6.8</v>
      </c>
      <c r="G56" s="5">
        <v>19.107877976190469</v>
      </c>
      <c r="H56" s="5">
        <v>6.1471861471844953</v>
      </c>
      <c r="I56" s="5">
        <v>78.032716082707992</v>
      </c>
      <c r="J56" s="5">
        <v>12.042270828213335</v>
      </c>
      <c r="K56" s="5">
        <v>87.957729171786667</v>
      </c>
      <c r="L56" s="5">
        <v>62.702665048411703</v>
      </c>
    </row>
    <row r="57" spans="1:12">
      <c r="A57" s="3" t="s">
        <v>71</v>
      </c>
      <c r="B57" s="3" t="s">
        <v>43</v>
      </c>
      <c r="C57" s="3">
        <v>13</v>
      </c>
      <c r="D57" s="3">
        <v>3</v>
      </c>
      <c r="E57" s="3">
        <v>5</v>
      </c>
      <c r="F57" s="4">
        <v>5.7</v>
      </c>
      <c r="G57" s="5">
        <v>18.266621722846434</v>
      </c>
      <c r="H57" s="5">
        <v>5.2109811896289537</v>
      </c>
      <c r="I57" s="5">
        <v>81.568102204821756</v>
      </c>
      <c r="J57" s="5">
        <v>18.837339295695944</v>
      </c>
      <c r="K57" s="5">
        <v>81.162660704304059</v>
      </c>
      <c r="L57" s="5">
        <v>57.685057791828669</v>
      </c>
    </row>
    <row r="58" spans="1:12">
      <c r="A58" s="3" t="s">
        <v>72</v>
      </c>
      <c r="B58" s="3" t="s">
        <v>43</v>
      </c>
      <c r="C58" s="3">
        <v>13</v>
      </c>
      <c r="D58" s="3">
        <v>3</v>
      </c>
      <c r="E58" s="3">
        <v>6</v>
      </c>
      <c r="F58" s="4">
        <v>10.199999999999999</v>
      </c>
      <c r="G58" s="5" t="s">
        <v>16</v>
      </c>
      <c r="H58" s="5" t="s">
        <v>16</v>
      </c>
      <c r="I58" s="5" t="s">
        <v>16</v>
      </c>
      <c r="J58" s="5" t="s">
        <v>16</v>
      </c>
      <c r="K58" s="5" t="s">
        <v>16</v>
      </c>
      <c r="L58" s="5" t="s">
        <v>16</v>
      </c>
    </row>
    <row r="59" spans="1:12">
      <c r="A59" s="3" t="s">
        <v>73</v>
      </c>
      <c r="B59" s="3" t="s">
        <v>43</v>
      </c>
      <c r="C59" s="3">
        <v>13</v>
      </c>
      <c r="D59" s="3">
        <v>3</v>
      </c>
      <c r="E59" s="3">
        <v>7</v>
      </c>
      <c r="F59" s="4">
        <v>5.85</v>
      </c>
      <c r="G59" s="5" t="s">
        <v>16</v>
      </c>
      <c r="H59" s="5" t="s">
        <v>16</v>
      </c>
      <c r="I59" s="5" t="s">
        <v>16</v>
      </c>
      <c r="J59" s="5" t="s">
        <v>16</v>
      </c>
      <c r="K59" s="5" t="s">
        <v>16</v>
      </c>
      <c r="L59" s="5" t="s">
        <v>16</v>
      </c>
    </row>
    <row r="60" spans="1:12">
      <c r="A60" s="7" t="s">
        <v>74</v>
      </c>
      <c r="B60" s="3" t="s">
        <v>43</v>
      </c>
      <c r="C60" s="7">
        <v>13</v>
      </c>
      <c r="D60" s="7">
        <v>3</v>
      </c>
      <c r="E60" s="7">
        <v>8</v>
      </c>
      <c r="F60" s="8">
        <v>5.9</v>
      </c>
      <c r="G60" s="5" t="s">
        <v>16</v>
      </c>
      <c r="H60" s="5" t="s">
        <v>16</v>
      </c>
      <c r="I60" s="5" t="s">
        <v>16</v>
      </c>
      <c r="J60" s="5" t="s">
        <v>16</v>
      </c>
      <c r="K60" s="5" t="s">
        <v>16</v>
      </c>
      <c r="L60" s="5" t="s">
        <v>16</v>
      </c>
    </row>
    <row r="61" spans="1:12">
      <c r="A61" s="3" t="s">
        <v>75</v>
      </c>
      <c r="B61" s="3" t="s">
        <v>43</v>
      </c>
      <c r="C61" s="3">
        <v>13</v>
      </c>
      <c r="D61" s="3">
        <v>5</v>
      </c>
      <c r="E61" s="3">
        <v>1</v>
      </c>
      <c r="F61" s="4">
        <v>5.2</v>
      </c>
      <c r="G61" s="5">
        <v>17.224787955226827</v>
      </c>
      <c r="H61" s="5">
        <v>5.6272757365113453</v>
      </c>
      <c r="I61" s="5">
        <v>79.4946488506111</v>
      </c>
      <c r="J61" s="5">
        <v>14.021000617665241</v>
      </c>
      <c r="K61" s="5">
        <v>85.978999382334763</v>
      </c>
      <c r="L61" s="5">
        <v>64.18119813970138</v>
      </c>
    </row>
    <row r="62" spans="1:12">
      <c r="A62" s="3" t="s">
        <v>76</v>
      </c>
      <c r="B62" s="3" t="s">
        <v>43</v>
      </c>
      <c r="C62" s="3">
        <v>13</v>
      </c>
      <c r="D62" s="3">
        <v>5</v>
      </c>
      <c r="E62" s="3">
        <v>2</v>
      </c>
      <c r="F62" s="4">
        <v>6.15</v>
      </c>
      <c r="G62" s="5">
        <v>18.420772779339796</v>
      </c>
      <c r="H62" s="9">
        <v>8.2040306759394053</v>
      </c>
      <c r="I62" s="5">
        <v>77.642852739937126</v>
      </c>
      <c r="J62" s="5">
        <v>19.6029776674938</v>
      </c>
      <c r="K62" s="5">
        <v>80.397022332506197</v>
      </c>
      <c r="L62" s="5">
        <v>53.772218877227004</v>
      </c>
    </row>
    <row r="63" spans="1:12">
      <c r="A63" s="3" t="s">
        <v>77</v>
      </c>
      <c r="B63" s="3" t="s">
        <v>43</v>
      </c>
      <c r="C63" s="3">
        <v>13</v>
      </c>
      <c r="D63" s="3">
        <v>5</v>
      </c>
      <c r="E63" s="3">
        <v>3</v>
      </c>
      <c r="F63" s="4">
        <v>5.45</v>
      </c>
      <c r="G63" s="9">
        <v>21.989671820949638</v>
      </c>
      <c r="H63" s="5">
        <v>6.0752255874212793</v>
      </c>
      <c r="I63" s="5">
        <v>76.581541566405335</v>
      </c>
      <c r="J63" s="5">
        <v>18.859794497845577</v>
      </c>
      <c r="K63" s="5">
        <v>81.14020550215443</v>
      </c>
      <c r="L63" s="5">
        <v>54.820520143065224</v>
      </c>
    </row>
    <row r="64" spans="1:12">
      <c r="A64" s="3" t="s">
        <v>78</v>
      </c>
      <c r="B64" s="3" t="s">
        <v>43</v>
      </c>
      <c r="C64" s="3">
        <v>13</v>
      </c>
      <c r="D64" s="3">
        <v>5</v>
      </c>
      <c r="E64" s="3">
        <v>4</v>
      </c>
      <c r="F64" s="4">
        <v>7.75</v>
      </c>
      <c r="G64" s="5">
        <v>17.974556929551476</v>
      </c>
      <c r="H64" s="5">
        <v>5.4054054054063414</v>
      </c>
      <c r="I64" s="5">
        <v>75.160682624113491</v>
      </c>
      <c r="J64" s="5">
        <v>34.86504572830696</v>
      </c>
      <c r="K64" s="5">
        <v>65.134954271693047</v>
      </c>
      <c r="L64" s="5">
        <v>41.754991936735223</v>
      </c>
    </row>
    <row r="65" spans="1:12">
      <c r="A65" s="3" t="s">
        <v>79</v>
      </c>
      <c r="B65" s="3" t="s">
        <v>43</v>
      </c>
      <c r="C65" s="3">
        <v>13</v>
      </c>
      <c r="D65" s="3">
        <v>5</v>
      </c>
      <c r="E65" s="3">
        <v>5</v>
      </c>
      <c r="F65" s="4">
        <v>6.55</v>
      </c>
      <c r="G65" s="5">
        <v>15.780321370615827</v>
      </c>
      <c r="H65" s="5">
        <v>6.5238095238090041</v>
      </c>
      <c r="I65" s="5">
        <v>80.993906282832526</v>
      </c>
      <c r="J65" s="5">
        <v>23.79767827529021</v>
      </c>
      <c r="K65" s="5">
        <v>76.20232172470979</v>
      </c>
      <c r="L65" s="5">
        <v>53.89819083028496</v>
      </c>
    </row>
    <row r="66" spans="1:12">
      <c r="A66" s="3" t="s">
        <v>80</v>
      </c>
      <c r="B66" s="3" t="s">
        <v>43</v>
      </c>
      <c r="C66" s="3">
        <v>13</v>
      </c>
      <c r="D66" s="3">
        <v>5</v>
      </c>
      <c r="E66" s="3">
        <v>6</v>
      </c>
      <c r="F66" s="4">
        <v>5.0999999999999996</v>
      </c>
      <c r="G66" s="5" t="s">
        <v>16</v>
      </c>
      <c r="H66" s="5" t="s">
        <v>16</v>
      </c>
      <c r="I66" s="5" t="s">
        <v>16</v>
      </c>
      <c r="J66" s="5" t="s">
        <v>16</v>
      </c>
      <c r="K66" s="5" t="s">
        <v>16</v>
      </c>
      <c r="L66" s="5" t="s">
        <v>16</v>
      </c>
    </row>
    <row r="67" spans="1:12">
      <c r="A67" s="3" t="s">
        <v>81</v>
      </c>
      <c r="B67" s="3" t="s">
        <v>43</v>
      </c>
      <c r="C67" s="3">
        <v>13</v>
      </c>
      <c r="D67" s="3">
        <v>5</v>
      </c>
      <c r="E67" s="3">
        <v>7</v>
      </c>
      <c r="F67" s="4">
        <v>4.5999999999999996</v>
      </c>
      <c r="G67" s="5" t="s">
        <v>16</v>
      </c>
      <c r="H67" s="5" t="s">
        <v>16</v>
      </c>
      <c r="I67" s="5" t="s">
        <v>16</v>
      </c>
      <c r="J67" s="5" t="s">
        <v>16</v>
      </c>
      <c r="K67" s="5" t="s">
        <v>16</v>
      </c>
      <c r="L67" s="5" t="s">
        <v>16</v>
      </c>
    </row>
    <row r="68" spans="1:12">
      <c r="A68" s="3" t="s">
        <v>82</v>
      </c>
      <c r="B68" s="3" t="s">
        <v>43</v>
      </c>
      <c r="C68" s="3">
        <v>13</v>
      </c>
      <c r="D68" s="3">
        <v>5</v>
      </c>
      <c r="E68" s="3">
        <v>8</v>
      </c>
      <c r="F68" s="3">
        <v>4.7</v>
      </c>
      <c r="G68" s="5" t="s">
        <v>16</v>
      </c>
      <c r="H68" s="5" t="s">
        <v>16</v>
      </c>
      <c r="I68" s="5" t="s">
        <v>16</v>
      </c>
      <c r="J68" s="5" t="s">
        <v>16</v>
      </c>
      <c r="K68" s="5" t="s">
        <v>16</v>
      </c>
      <c r="L68" s="5" t="s">
        <v>16</v>
      </c>
    </row>
    <row r="69" spans="1:12">
      <c r="A69" s="3" t="s">
        <v>83</v>
      </c>
      <c r="B69" s="3" t="s">
        <v>43</v>
      </c>
      <c r="C69" s="3">
        <v>13</v>
      </c>
      <c r="D69" s="3">
        <v>2</v>
      </c>
      <c r="E69" s="3">
        <v>1</v>
      </c>
      <c r="F69" s="4">
        <v>5.2</v>
      </c>
      <c r="G69" s="5">
        <v>20.290635618787174</v>
      </c>
      <c r="H69" s="5">
        <v>6.774668630339268</v>
      </c>
      <c r="I69" s="5">
        <v>79.711744017653942</v>
      </c>
      <c r="J69" s="5">
        <v>14.853840924541135</v>
      </c>
      <c r="K69" s="5">
        <v>85.146159075458854</v>
      </c>
      <c r="L69" s="5">
        <v>58.080854826332427</v>
      </c>
    </row>
    <row r="70" spans="1:12">
      <c r="A70" s="3" t="s">
        <v>84</v>
      </c>
      <c r="B70" s="3" t="s">
        <v>43</v>
      </c>
      <c r="C70" s="3">
        <v>13</v>
      </c>
      <c r="D70" s="3">
        <v>2</v>
      </c>
      <c r="E70" s="3">
        <v>2</v>
      </c>
      <c r="F70" s="4">
        <v>9.6999999999999993</v>
      </c>
      <c r="G70" s="5">
        <v>17.03704185384845</v>
      </c>
      <c r="H70" s="5">
        <v>5.7192589829670055</v>
      </c>
      <c r="I70" s="5">
        <v>76.057010365520981</v>
      </c>
      <c r="J70" s="5">
        <v>32.156080888635721</v>
      </c>
      <c r="K70" s="5">
        <v>67.843919111364286</v>
      </c>
      <c r="L70" s="5">
        <v>45.087618274548824</v>
      </c>
    </row>
    <row r="71" spans="1:12">
      <c r="A71" s="3" t="s">
        <v>85</v>
      </c>
      <c r="B71" s="3" t="s">
        <v>43</v>
      </c>
      <c r="C71" s="3">
        <v>13</v>
      </c>
      <c r="D71" s="3">
        <v>2</v>
      </c>
      <c r="E71" s="3">
        <v>3</v>
      </c>
      <c r="F71" s="4">
        <v>5.0999999999999996</v>
      </c>
      <c r="G71" s="5">
        <v>15.674014244496172</v>
      </c>
      <c r="H71" s="5">
        <v>5.0669562070214491</v>
      </c>
      <c r="I71" s="5">
        <v>79.568376531829514</v>
      </c>
      <c r="J71" s="5">
        <v>14.808917197452226</v>
      </c>
      <c r="K71" s="5">
        <v>85.191082802547768</v>
      </c>
      <c r="L71" s="5">
        <v>64.450112351030157</v>
      </c>
    </row>
    <row r="72" spans="1:12">
      <c r="A72" s="3" t="s">
        <v>86</v>
      </c>
      <c r="B72" s="3" t="s">
        <v>43</v>
      </c>
      <c r="C72" s="3">
        <v>13</v>
      </c>
      <c r="D72" s="3">
        <v>2</v>
      </c>
      <c r="E72" s="3">
        <v>4</v>
      </c>
      <c r="F72" s="4">
        <v>5.7</v>
      </c>
      <c r="G72" s="5">
        <v>16.783219139774697</v>
      </c>
      <c r="H72" s="5">
        <v>4.8283499446296583</v>
      </c>
      <c r="I72" s="5">
        <v>80.415052008974101</v>
      </c>
      <c r="J72" s="5">
        <v>15.620932048945589</v>
      </c>
      <c r="K72" s="5">
        <v>84.379067951054409</v>
      </c>
      <c r="L72" s="5">
        <v>62.767498866650058</v>
      </c>
    </row>
    <row r="73" spans="1:12">
      <c r="A73" s="3" t="s">
        <v>87</v>
      </c>
      <c r="B73" s="3" t="s">
        <v>43</v>
      </c>
      <c r="C73" s="3">
        <v>13</v>
      </c>
      <c r="D73" s="3">
        <v>2</v>
      </c>
      <c r="E73" s="3">
        <v>5</v>
      </c>
      <c r="F73" s="4">
        <v>5.8</v>
      </c>
      <c r="G73" s="5">
        <v>14.045859426946629</v>
      </c>
      <c r="H73" s="5">
        <v>4.6082949308761068</v>
      </c>
      <c r="I73" s="5">
        <v>83.445604580666881</v>
      </c>
      <c r="J73" s="5">
        <v>19.023397761953149</v>
      </c>
      <c r="K73" s="5">
        <v>80.976602238046851</v>
      </c>
      <c r="L73" s="5">
        <v>62.322447880224118</v>
      </c>
    </row>
    <row r="74" spans="1:12">
      <c r="A74" s="3" t="s">
        <v>88</v>
      </c>
      <c r="B74" s="3" t="s">
        <v>43</v>
      </c>
      <c r="C74" s="3">
        <v>13</v>
      </c>
      <c r="D74" s="3">
        <v>2</v>
      </c>
      <c r="E74" s="3">
        <v>6</v>
      </c>
      <c r="F74" s="4">
        <v>6.3</v>
      </c>
      <c r="G74" s="5" t="s">
        <v>16</v>
      </c>
      <c r="H74" s="5" t="s">
        <v>16</v>
      </c>
      <c r="I74" s="5" t="s">
        <v>16</v>
      </c>
      <c r="J74" s="5" t="s">
        <v>16</v>
      </c>
      <c r="K74" s="5" t="s">
        <v>16</v>
      </c>
      <c r="L74" s="5" t="s">
        <v>16</v>
      </c>
    </row>
    <row r="75" spans="1:12">
      <c r="A75" s="3" t="s">
        <v>89</v>
      </c>
      <c r="B75" s="3" t="s">
        <v>43</v>
      </c>
      <c r="C75" s="3">
        <v>13</v>
      </c>
      <c r="D75" s="3">
        <v>2</v>
      </c>
      <c r="E75" s="3">
        <v>7</v>
      </c>
      <c r="F75" s="4">
        <v>6.25</v>
      </c>
      <c r="G75" s="5" t="s">
        <v>16</v>
      </c>
      <c r="H75" s="5" t="s">
        <v>16</v>
      </c>
      <c r="I75" s="5" t="s">
        <v>16</v>
      </c>
      <c r="J75" s="5" t="s">
        <v>16</v>
      </c>
      <c r="K75" s="5" t="s">
        <v>16</v>
      </c>
      <c r="L75" s="5" t="s">
        <v>16</v>
      </c>
    </row>
    <row r="76" spans="1:12">
      <c r="A76" s="3" t="s">
        <v>90</v>
      </c>
      <c r="B76" s="3" t="s">
        <v>43</v>
      </c>
      <c r="C76" s="3">
        <v>13</v>
      </c>
      <c r="D76" s="3">
        <v>2</v>
      </c>
      <c r="E76" s="3">
        <v>8</v>
      </c>
      <c r="F76" s="4">
        <v>8.5500000000000007</v>
      </c>
      <c r="G76" s="5" t="s">
        <v>16</v>
      </c>
      <c r="H76" s="5" t="s">
        <v>16</v>
      </c>
      <c r="I76" s="5" t="s">
        <v>16</v>
      </c>
      <c r="J76" s="5" t="s">
        <v>16</v>
      </c>
      <c r="K76" s="5" t="s">
        <v>16</v>
      </c>
      <c r="L76" s="5" t="s">
        <v>16</v>
      </c>
    </row>
    <row r="77" spans="1:12">
      <c r="A77" s="3" t="s">
        <v>91</v>
      </c>
      <c r="B77" s="3" t="s">
        <v>43</v>
      </c>
      <c r="C77" s="3">
        <v>54</v>
      </c>
      <c r="D77" s="3">
        <v>9</v>
      </c>
      <c r="E77" s="3">
        <v>1</v>
      </c>
      <c r="F77" s="4">
        <v>6.3</v>
      </c>
      <c r="G77" s="5">
        <v>15.753935601168806</v>
      </c>
      <c r="H77" s="5">
        <v>6.0288681570141289</v>
      </c>
      <c r="I77" s="5">
        <v>78.626533451372197</v>
      </c>
      <c r="J77" s="5">
        <v>15.502958579881678</v>
      </c>
      <c r="K77" s="5">
        <v>84.497041420118322</v>
      </c>
      <c r="L77" s="5">
        <v>62.714237661935385</v>
      </c>
    </row>
    <row r="78" spans="1:12">
      <c r="A78" s="3" t="s">
        <v>92</v>
      </c>
      <c r="B78" s="3" t="s">
        <v>43</v>
      </c>
      <c r="C78" s="3">
        <v>54</v>
      </c>
      <c r="D78" s="3">
        <v>9</v>
      </c>
      <c r="E78" s="3">
        <v>2</v>
      </c>
      <c r="F78" s="4">
        <v>7.25</v>
      </c>
      <c r="G78" s="5">
        <v>14.977134088164249</v>
      </c>
      <c r="H78" s="5">
        <v>6.1090530967703547</v>
      </c>
      <c r="I78" s="5">
        <v>76.992626876917285</v>
      </c>
      <c r="J78" s="5">
        <v>20.304093567251478</v>
      </c>
      <c r="K78" s="5">
        <v>79.695906432748515</v>
      </c>
      <c r="L78" s="5">
        <v>58.609719247813921</v>
      </c>
    </row>
    <row r="79" spans="1:12">
      <c r="A79" s="3" t="s">
        <v>93</v>
      </c>
      <c r="B79" s="3" t="s">
        <v>43</v>
      </c>
      <c r="C79" s="3">
        <v>54</v>
      </c>
      <c r="D79" s="3">
        <v>9</v>
      </c>
      <c r="E79" s="3">
        <v>3</v>
      </c>
      <c r="F79" s="4">
        <v>10.75</v>
      </c>
      <c r="G79" s="5">
        <v>14.22954160613935</v>
      </c>
      <c r="H79" s="5">
        <v>4.5500505561188991</v>
      </c>
      <c r="I79" s="5">
        <v>66.556836902800654</v>
      </c>
      <c r="J79" s="5">
        <v>51.833607006020848</v>
      </c>
      <c r="K79" s="9">
        <v>48.166392993979159</v>
      </c>
      <c r="L79" s="9">
        <v>30.401362011220002</v>
      </c>
    </row>
    <row r="80" spans="1:12">
      <c r="A80" s="3" t="s">
        <v>94</v>
      </c>
      <c r="B80" s="3" t="s">
        <v>43</v>
      </c>
      <c r="C80" s="3">
        <v>54</v>
      </c>
      <c r="D80" s="3">
        <v>9</v>
      </c>
      <c r="E80" s="3">
        <v>4</v>
      </c>
      <c r="F80" s="4">
        <v>10</v>
      </c>
      <c r="G80" s="5">
        <v>16.430186551215915</v>
      </c>
      <c r="H80" s="5">
        <v>5.8398010700029452</v>
      </c>
      <c r="I80" s="5">
        <v>77.505919494869786</v>
      </c>
      <c r="J80" s="5">
        <v>16.290726817042611</v>
      </c>
      <c r="K80" s="5">
        <v>83.709273182957389</v>
      </c>
      <c r="L80" s="5">
        <v>61.439285561738529</v>
      </c>
    </row>
    <row r="81" spans="1:12">
      <c r="A81" s="3" t="s">
        <v>95</v>
      </c>
      <c r="B81" s="3" t="s">
        <v>43</v>
      </c>
      <c r="C81" s="3">
        <v>54</v>
      </c>
      <c r="D81" s="3">
        <v>9</v>
      </c>
      <c r="E81" s="3">
        <v>5</v>
      </c>
      <c r="F81" s="4">
        <v>8.25</v>
      </c>
      <c r="G81" s="5">
        <v>18.456925200425353</v>
      </c>
      <c r="H81" s="5">
        <v>6.1750686118735985</v>
      </c>
      <c r="I81" s="5">
        <v>75.22799817601458</v>
      </c>
      <c r="J81" s="5">
        <v>19.903359410952611</v>
      </c>
      <c r="K81" s="5">
        <v>80.096640589047382</v>
      </c>
      <c r="L81" s="5">
        <v>55.464646776748438</v>
      </c>
    </row>
    <row r="82" spans="1:12">
      <c r="A82" s="3" t="s">
        <v>96</v>
      </c>
      <c r="B82" s="3" t="s">
        <v>43</v>
      </c>
      <c r="C82" s="3">
        <v>54</v>
      </c>
      <c r="D82" s="3">
        <v>9</v>
      </c>
      <c r="E82" s="3">
        <v>6</v>
      </c>
      <c r="F82" s="4">
        <v>6.35</v>
      </c>
      <c r="G82" s="5" t="s">
        <v>16</v>
      </c>
      <c r="H82" s="5" t="s">
        <v>16</v>
      </c>
      <c r="I82" s="5" t="s">
        <v>16</v>
      </c>
      <c r="J82" s="5" t="s">
        <v>16</v>
      </c>
      <c r="K82" s="5" t="s">
        <v>16</v>
      </c>
      <c r="L82" s="5" t="s">
        <v>16</v>
      </c>
    </row>
    <row r="83" spans="1:12">
      <c r="A83" s="3" t="s">
        <v>97</v>
      </c>
      <c r="B83" s="3" t="s">
        <v>43</v>
      </c>
      <c r="C83" s="3">
        <v>54</v>
      </c>
      <c r="D83" s="3">
        <v>9</v>
      </c>
      <c r="E83" s="3">
        <v>7</v>
      </c>
      <c r="F83" s="4">
        <v>4.7</v>
      </c>
      <c r="G83" s="5" t="s">
        <v>16</v>
      </c>
      <c r="H83" s="5" t="s">
        <v>16</v>
      </c>
      <c r="I83" s="5" t="s">
        <v>16</v>
      </c>
      <c r="J83" s="5" t="s">
        <v>16</v>
      </c>
      <c r="K83" s="5" t="s">
        <v>16</v>
      </c>
      <c r="L83" s="5" t="s">
        <v>16</v>
      </c>
    </row>
    <row r="84" spans="1:12">
      <c r="A84" s="3" t="s">
        <v>98</v>
      </c>
      <c r="B84" s="3" t="s">
        <v>43</v>
      </c>
      <c r="C84" s="3">
        <v>54</v>
      </c>
      <c r="D84" s="3">
        <v>9</v>
      </c>
      <c r="E84" s="3">
        <v>8</v>
      </c>
      <c r="F84" s="4">
        <v>6.6</v>
      </c>
      <c r="G84" s="5" t="s">
        <v>16</v>
      </c>
      <c r="H84" s="5" t="s">
        <v>16</v>
      </c>
      <c r="I84" s="5" t="s">
        <v>16</v>
      </c>
      <c r="J84" s="5" t="s">
        <v>16</v>
      </c>
      <c r="K84" s="5" t="s">
        <v>16</v>
      </c>
      <c r="L84" s="5" t="s">
        <v>16</v>
      </c>
    </row>
    <row r="85" spans="1:12">
      <c r="A85" s="3" t="s">
        <v>99</v>
      </c>
      <c r="B85" s="3" t="s">
        <v>43</v>
      </c>
      <c r="C85" s="3">
        <v>54</v>
      </c>
      <c r="D85" s="3">
        <v>6</v>
      </c>
      <c r="E85" s="3">
        <v>1</v>
      </c>
      <c r="F85" s="4">
        <v>5.9</v>
      </c>
      <c r="G85" s="5">
        <v>13.889837594445455</v>
      </c>
      <c r="H85" s="5">
        <v>5.3043478260860866</v>
      </c>
      <c r="I85" s="5">
        <v>79.470338983050851</v>
      </c>
      <c r="J85" s="5">
        <v>15.531475748193971</v>
      </c>
      <c r="K85" s="5">
        <v>84.468524251806031</v>
      </c>
      <c r="L85" s="5">
        <v>64.655124043410225</v>
      </c>
    </row>
    <row r="86" spans="1:12">
      <c r="A86" s="3" t="s">
        <v>100</v>
      </c>
      <c r="B86" s="3" t="s">
        <v>43</v>
      </c>
      <c r="C86" s="3">
        <v>54</v>
      </c>
      <c r="D86" s="3">
        <v>6</v>
      </c>
      <c r="E86" s="3">
        <v>2</v>
      </c>
      <c r="F86" s="4">
        <v>7.45</v>
      </c>
      <c r="G86" s="5">
        <v>14.181087636314455</v>
      </c>
      <c r="H86" s="5">
        <v>4.56638826008927</v>
      </c>
      <c r="I86" s="5">
        <v>79.654864291299006</v>
      </c>
      <c r="J86" s="5">
        <v>17.897337359319234</v>
      </c>
      <c r="K86" s="5">
        <v>82.102662640680762</v>
      </c>
      <c r="L86" s="5">
        <v>63.355186744277042</v>
      </c>
    </row>
    <row r="87" spans="1:12">
      <c r="A87" s="3" t="s">
        <v>101</v>
      </c>
      <c r="B87" s="3" t="s">
        <v>43</v>
      </c>
      <c r="C87" s="3">
        <v>54</v>
      </c>
      <c r="D87" s="3">
        <v>6</v>
      </c>
      <c r="E87" s="3">
        <v>3</v>
      </c>
      <c r="F87" s="4">
        <v>6</v>
      </c>
      <c r="G87" s="5">
        <v>14.268805094875239</v>
      </c>
      <c r="H87" s="5">
        <v>5.2687941743414788</v>
      </c>
      <c r="I87" s="5">
        <v>78.968315501111277</v>
      </c>
      <c r="J87" s="5">
        <v>15.704104202506796</v>
      </c>
      <c r="K87" s="5">
        <v>84.295895797493202</v>
      </c>
      <c r="L87" s="5">
        <v>64.758296528276489</v>
      </c>
    </row>
    <row r="88" spans="1:12">
      <c r="A88" s="3" t="s">
        <v>102</v>
      </c>
      <c r="B88" s="3" t="s">
        <v>43</v>
      </c>
      <c r="C88" s="3">
        <v>54</v>
      </c>
      <c r="D88" s="3">
        <v>6</v>
      </c>
      <c r="E88" s="3">
        <v>4</v>
      </c>
      <c r="F88" s="4">
        <v>5.05</v>
      </c>
      <c r="G88" s="5">
        <v>14.017397738581378</v>
      </c>
      <c r="H88" s="5">
        <v>7.3282988516034093</v>
      </c>
      <c r="I88" s="5">
        <v>76.416493622070604</v>
      </c>
      <c r="J88" s="5">
        <v>24.427672955974863</v>
      </c>
      <c r="K88" s="5">
        <v>75.57232704402513</v>
      </c>
      <c r="L88" s="5">
        <v>54.22663045384035</v>
      </c>
    </row>
    <row r="89" spans="1:12">
      <c r="A89" s="3" t="s">
        <v>103</v>
      </c>
      <c r="B89" s="3" t="s">
        <v>43</v>
      </c>
      <c r="C89" s="3">
        <v>54</v>
      </c>
      <c r="D89" s="3">
        <v>6</v>
      </c>
      <c r="E89" s="3">
        <v>5</v>
      </c>
      <c r="F89" s="4">
        <v>8.9</v>
      </c>
      <c r="G89" s="5">
        <v>16.565049253875234</v>
      </c>
      <c r="H89" s="5">
        <v>6.7254816631731327</v>
      </c>
      <c r="I89" s="5">
        <v>77.495654802387975</v>
      </c>
      <c r="J89" s="5">
        <v>15.883143049026165</v>
      </c>
      <c r="K89" s="5">
        <v>84.116856950973826</v>
      </c>
      <c r="L89" s="5">
        <v>57.752399368257898</v>
      </c>
    </row>
    <row r="90" spans="1:12">
      <c r="A90" s="3" t="s">
        <v>104</v>
      </c>
      <c r="B90" s="3" t="s">
        <v>43</v>
      </c>
      <c r="C90" s="3">
        <v>54</v>
      </c>
      <c r="D90" s="3">
        <v>6</v>
      </c>
      <c r="E90" s="3">
        <v>6</v>
      </c>
      <c r="F90" s="4">
        <v>8.6</v>
      </c>
      <c r="G90" s="5" t="s">
        <v>16</v>
      </c>
      <c r="H90" s="5" t="s">
        <v>16</v>
      </c>
      <c r="I90" s="5" t="s">
        <v>16</v>
      </c>
      <c r="J90" s="5" t="s">
        <v>16</v>
      </c>
      <c r="K90" s="5" t="s">
        <v>16</v>
      </c>
      <c r="L90" s="5" t="s">
        <v>16</v>
      </c>
    </row>
    <row r="91" spans="1:12">
      <c r="A91" s="3" t="s">
        <v>105</v>
      </c>
      <c r="B91" s="3" t="s">
        <v>43</v>
      </c>
      <c r="C91" s="3">
        <v>54</v>
      </c>
      <c r="D91" s="3">
        <v>6</v>
      </c>
      <c r="E91" s="3">
        <v>7</v>
      </c>
      <c r="F91" s="4">
        <v>6.7</v>
      </c>
      <c r="G91" s="5" t="s">
        <v>16</v>
      </c>
      <c r="H91" s="5" t="s">
        <v>16</v>
      </c>
      <c r="I91" s="5" t="s">
        <v>16</v>
      </c>
      <c r="J91" s="5" t="s">
        <v>16</v>
      </c>
      <c r="K91" s="5" t="s">
        <v>16</v>
      </c>
      <c r="L91" s="5" t="s">
        <v>16</v>
      </c>
    </row>
    <row r="92" spans="1:12">
      <c r="A92" s="3" t="s">
        <v>106</v>
      </c>
      <c r="B92" s="3" t="s">
        <v>43</v>
      </c>
      <c r="C92" s="3">
        <v>54</v>
      </c>
      <c r="D92" s="3">
        <v>6</v>
      </c>
      <c r="E92" s="3">
        <v>8</v>
      </c>
      <c r="F92" s="4">
        <v>6</v>
      </c>
      <c r="G92" s="5" t="s">
        <v>16</v>
      </c>
      <c r="H92" s="5" t="s">
        <v>16</v>
      </c>
      <c r="I92" s="5" t="s">
        <v>16</v>
      </c>
      <c r="J92" s="5" t="s">
        <v>16</v>
      </c>
      <c r="K92" s="5" t="s">
        <v>16</v>
      </c>
      <c r="L92" s="5" t="s">
        <v>16</v>
      </c>
    </row>
    <row r="93" spans="1:12">
      <c r="A93" s="3" t="s">
        <v>107</v>
      </c>
      <c r="B93" s="3" t="s">
        <v>43</v>
      </c>
      <c r="C93" s="3">
        <v>54</v>
      </c>
      <c r="D93" s="3">
        <v>8</v>
      </c>
      <c r="E93" s="3">
        <v>1</v>
      </c>
      <c r="F93" s="4">
        <v>6.65</v>
      </c>
      <c r="G93" s="5">
        <v>14.731581479571124</v>
      </c>
      <c r="H93" s="5">
        <v>5.8422904360735473</v>
      </c>
      <c r="I93" s="5">
        <v>78.287958115183258</v>
      </c>
      <c r="J93" s="5">
        <v>19.676874849288641</v>
      </c>
      <c r="K93" s="5">
        <v>80.323125150711348</v>
      </c>
      <c r="L93" s="5">
        <v>61.16249013832563</v>
      </c>
    </row>
    <row r="94" spans="1:12">
      <c r="A94" s="3" t="s">
        <v>108</v>
      </c>
      <c r="B94" s="3" t="s">
        <v>43</v>
      </c>
      <c r="C94" s="3">
        <v>54</v>
      </c>
      <c r="D94" s="3">
        <v>8</v>
      </c>
      <c r="E94" s="3">
        <v>2</v>
      </c>
      <c r="F94" s="4">
        <v>7.55</v>
      </c>
      <c r="G94" s="5">
        <v>17.504783101449274</v>
      </c>
      <c r="H94" s="10" t="s">
        <v>16</v>
      </c>
      <c r="I94" s="5">
        <v>77.287946428571431</v>
      </c>
      <c r="J94" s="5">
        <v>19.847119847119878</v>
      </c>
      <c r="K94" s="5">
        <v>80.15288015288013</v>
      </c>
      <c r="L94" s="10" t="s">
        <v>16</v>
      </c>
    </row>
    <row r="95" spans="1:12">
      <c r="A95" s="3" t="s">
        <v>109</v>
      </c>
      <c r="B95" s="3" t="s">
        <v>43</v>
      </c>
      <c r="C95" s="3">
        <v>54</v>
      </c>
      <c r="D95" s="3">
        <v>8</v>
      </c>
      <c r="E95" s="3">
        <v>3</v>
      </c>
      <c r="F95" s="4">
        <v>9.6</v>
      </c>
      <c r="G95" s="5">
        <v>13.720655276005818</v>
      </c>
      <c r="H95" s="5">
        <v>5.3333333333337549</v>
      </c>
      <c r="I95" s="5">
        <v>77.304601525310943</v>
      </c>
      <c r="J95" s="5">
        <v>31.10058637798825</v>
      </c>
      <c r="K95" s="5">
        <v>68.89941362201175</v>
      </c>
      <c r="L95" s="5">
        <v>49.84542501267218</v>
      </c>
    </row>
    <row r="96" spans="1:12">
      <c r="A96" s="3" t="s">
        <v>110</v>
      </c>
      <c r="B96" s="3" t="s">
        <v>43</v>
      </c>
      <c r="C96" s="3">
        <v>54</v>
      </c>
      <c r="D96" s="3">
        <v>8</v>
      </c>
      <c r="E96" s="3">
        <v>4</v>
      </c>
      <c r="F96" s="4">
        <v>7.3</v>
      </c>
      <c r="G96" s="5">
        <v>16.020024766775077</v>
      </c>
      <c r="H96" s="5">
        <v>4.9689440993794989</v>
      </c>
      <c r="I96" s="5">
        <v>77.822322001282885</v>
      </c>
      <c r="J96" s="5">
        <v>20.245842371655808</v>
      </c>
      <c r="K96" s="5">
        <v>79.754157628344188</v>
      </c>
      <c r="L96" s="5">
        <v>58.765188762189617</v>
      </c>
    </row>
    <row r="97" spans="1:12">
      <c r="A97" s="3" t="s">
        <v>111</v>
      </c>
      <c r="B97" s="3" t="s">
        <v>43</v>
      </c>
      <c r="C97" s="3">
        <v>54</v>
      </c>
      <c r="D97" s="3">
        <v>8</v>
      </c>
      <c r="E97" s="3">
        <v>5</v>
      </c>
      <c r="F97" s="4">
        <v>6.55</v>
      </c>
      <c r="G97" s="5">
        <v>16.539735641659806</v>
      </c>
      <c r="H97" s="5">
        <v>6.3160987074039907</v>
      </c>
      <c r="I97" s="5">
        <v>72.61742030728854</v>
      </c>
      <c r="J97" s="5">
        <v>32.20846645367412</v>
      </c>
      <c r="K97" s="5">
        <v>67.79153354632588</v>
      </c>
      <c r="L97" s="5">
        <v>44.935699197262082</v>
      </c>
    </row>
    <row r="98" spans="1:12">
      <c r="A98" s="3" t="s">
        <v>112</v>
      </c>
      <c r="B98" s="3" t="s">
        <v>43</v>
      </c>
      <c r="C98" s="3">
        <v>54</v>
      </c>
      <c r="D98" s="3">
        <v>8</v>
      </c>
      <c r="E98" s="3">
        <v>6</v>
      </c>
      <c r="F98" s="4">
        <v>6.85</v>
      </c>
      <c r="G98" s="5" t="s">
        <v>16</v>
      </c>
      <c r="H98" s="5" t="s">
        <v>16</v>
      </c>
      <c r="I98" s="5" t="s">
        <v>16</v>
      </c>
      <c r="J98" s="5" t="s">
        <v>16</v>
      </c>
      <c r="K98" s="5" t="s">
        <v>16</v>
      </c>
      <c r="L98" s="5" t="s">
        <v>16</v>
      </c>
    </row>
    <row r="99" spans="1:12">
      <c r="A99" s="3" t="s">
        <v>113</v>
      </c>
      <c r="B99" s="3" t="s">
        <v>43</v>
      </c>
      <c r="C99" s="3">
        <v>54</v>
      </c>
      <c r="D99" s="3">
        <v>8</v>
      </c>
      <c r="E99" s="3">
        <v>7</v>
      </c>
      <c r="F99" s="4">
        <v>8.15</v>
      </c>
      <c r="G99" s="5" t="s">
        <v>16</v>
      </c>
      <c r="H99" s="5" t="s">
        <v>16</v>
      </c>
      <c r="I99" s="5" t="s">
        <v>16</v>
      </c>
      <c r="J99" s="5" t="s">
        <v>16</v>
      </c>
      <c r="K99" s="5" t="s">
        <v>16</v>
      </c>
      <c r="L99" s="5" t="s">
        <v>16</v>
      </c>
    </row>
    <row r="100" spans="1:12">
      <c r="A100" s="3" t="s">
        <v>114</v>
      </c>
      <c r="B100" s="3" t="s">
        <v>43</v>
      </c>
      <c r="C100" s="3">
        <v>54</v>
      </c>
      <c r="D100" s="3">
        <v>8</v>
      </c>
      <c r="E100" s="3">
        <v>8</v>
      </c>
      <c r="F100" s="4">
        <v>6.4</v>
      </c>
      <c r="G100" s="5" t="s">
        <v>16</v>
      </c>
      <c r="H100" s="5" t="s">
        <v>16</v>
      </c>
      <c r="I100" s="5" t="s">
        <v>16</v>
      </c>
      <c r="J100" s="5" t="s">
        <v>16</v>
      </c>
      <c r="K100" s="5" t="s">
        <v>16</v>
      </c>
      <c r="L100" s="5" t="s">
        <v>16</v>
      </c>
    </row>
    <row r="101" spans="1:12">
      <c r="G101" s="5"/>
      <c r="H101" s="5"/>
      <c r="I101" s="5"/>
      <c r="J101" s="5"/>
      <c r="K101" s="5"/>
      <c r="L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401B-1330-4665-B0FE-E430E7C8CE8A}">
  <dimension ref="A1:M32"/>
  <sheetViews>
    <sheetView tabSelected="1" workbookViewId="0">
      <selection activeCell="M30" sqref="M30"/>
    </sheetView>
  </sheetViews>
  <sheetFormatPr defaultRowHeight="15"/>
  <cols>
    <col min="1" max="1" width="10" bestFit="1" customWidth="1"/>
    <col min="2" max="2" width="9" bestFit="1" customWidth="1"/>
    <col min="3" max="3" width="10" bestFit="1" customWidth="1"/>
    <col min="4" max="4" width="4.85546875" bestFit="1" customWidth="1"/>
    <col min="5" max="5" width="4" bestFit="1" customWidth="1"/>
    <col min="6" max="6" width="7.140625" style="7" bestFit="1" customWidth="1"/>
    <col min="7" max="7" width="17.28515625" style="7" bestFit="1" customWidth="1"/>
    <col min="8" max="8" width="14.85546875" style="7" bestFit="1" customWidth="1"/>
    <col min="9" max="9" width="17.85546875" style="7" bestFit="1" customWidth="1"/>
    <col min="10" max="10" width="13.85546875" style="7" bestFit="1" customWidth="1"/>
    <col min="11" max="11" width="14.85546875" style="7" bestFit="1" customWidth="1"/>
    <col min="12" max="12" width="15.42578125" style="7" bestFit="1" customWidth="1"/>
    <col min="13" max="13" width="18.28515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115</v>
      </c>
    </row>
    <row r="2" spans="1:13">
      <c r="A2" s="3" t="s">
        <v>12</v>
      </c>
      <c r="B2" s="3" t="s">
        <v>13</v>
      </c>
      <c r="C2" s="3" t="s">
        <v>14</v>
      </c>
      <c r="D2" s="3">
        <v>1</v>
      </c>
      <c r="E2" s="3">
        <v>1</v>
      </c>
      <c r="F2" s="4">
        <v>6.65</v>
      </c>
      <c r="G2" s="8">
        <v>18.137353923447481</v>
      </c>
      <c r="H2" s="8">
        <v>6.8908883176245768</v>
      </c>
      <c r="I2" s="8">
        <v>76.147698407781419</v>
      </c>
      <c r="J2" s="8">
        <v>21.116883116883134</v>
      </c>
      <c r="K2" s="8">
        <v>78.88311688311687</v>
      </c>
      <c r="L2" s="8">
        <v>53.16274469780366</v>
      </c>
      <c r="M2" s="8">
        <v>1.2480996280803343</v>
      </c>
    </row>
    <row r="3" spans="1:13">
      <c r="A3" s="3" t="s">
        <v>15</v>
      </c>
      <c r="B3" s="3" t="s">
        <v>13</v>
      </c>
      <c r="C3" s="3" t="s">
        <v>14</v>
      </c>
      <c r="D3" s="3">
        <v>1</v>
      </c>
      <c r="E3" s="3">
        <v>2</v>
      </c>
      <c r="F3" s="4">
        <v>5.45</v>
      </c>
      <c r="G3" s="13" t="s">
        <v>16</v>
      </c>
      <c r="H3" s="8">
        <v>2.9820261437909235</v>
      </c>
      <c r="I3" s="8">
        <v>78.974411151243828</v>
      </c>
      <c r="J3" s="8">
        <v>25.792402613113918</v>
      </c>
      <c r="K3" s="8">
        <v>74.207597386886093</v>
      </c>
      <c r="L3" s="8">
        <v>71.22557124309516</v>
      </c>
      <c r="M3" s="8">
        <v>0.66655296472178494</v>
      </c>
    </row>
    <row r="4" spans="1:13">
      <c r="A4" s="3" t="s">
        <v>17</v>
      </c>
      <c r="B4" s="3" t="s">
        <v>13</v>
      </c>
      <c r="C4" s="3" t="s">
        <v>14</v>
      </c>
      <c r="D4" s="3">
        <v>1</v>
      </c>
      <c r="E4" s="3">
        <v>3</v>
      </c>
      <c r="F4" s="4">
        <v>5.75</v>
      </c>
      <c r="G4" s="8">
        <v>14.384187467930783</v>
      </c>
      <c r="H4" s="8">
        <v>6.2211981566816075</v>
      </c>
      <c r="I4" s="8">
        <v>77.874115129232294</v>
      </c>
      <c r="J4" s="8">
        <v>31.448412698412721</v>
      </c>
      <c r="K4" s="8">
        <v>68.551587301587276</v>
      </c>
      <c r="L4" s="8">
        <v>47.946201676974894</v>
      </c>
      <c r="M4" s="8">
        <v>0.79507213862170134</v>
      </c>
    </row>
    <row r="5" spans="1:13">
      <c r="A5" s="3" t="s">
        <v>18</v>
      </c>
      <c r="B5" s="3" t="s">
        <v>13</v>
      </c>
      <c r="C5" s="3" t="s">
        <v>14</v>
      </c>
      <c r="D5" s="3">
        <v>4</v>
      </c>
      <c r="E5" s="3">
        <v>1</v>
      </c>
      <c r="F5" s="4">
        <v>7.5</v>
      </c>
      <c r="G5" s="8">
        <v>11.920455976658953</v>
      </c>
      <c r="H5" s="8">
        <v>6.4901349948078932</v>
      </c>
      <c r="I5" s="8">
        <v>75.623476467279218</v>
      </c>
      <c r="J5" s="8">
        <v>17.769230769230742</v>
      </c>
      <c r="K5" s="8">
        <v>82.230769230769255</v>
      </c>
      <c r="L5" s="8">
        <v>62.914182886183156</v>
      </c>
      <c r="M5" s="8">
        <v>1.3376598259069068</v>
      </c>
    </row>
    <row r="6" spans="1:13">
      <c r="A6" s="3" t="s">
        <v>19</v>
      </c>
      <c r="B6" s="3" t="s">
        <v>13</v>
      </c>
      <c r="C6" s="3" t="s">
        <v>14</v>
      </c>
      <c r="D6" s="3">
        <v>4</v>
      </c>
      <c r="E6" s="3">
        <v>2</v>
      </c>
      <c r="F6" s="4">
        <v>7.3</v>
      </c>
      <c r="G6" s="8">
        <v>14.46120362724297</v>
      </c>
      <c r="H6" s="8">
        <v>4.9611734253670869</v>
      </c>
      <c r="I6" s="8">
        <v>77.673448095983318</v>
      </c>
      <c r="J6" s="8">
        <v>29.322429906542048</v>
      </c>
      <c r="K6" s="8">
        <v>70.677570093457959</v>
      </c>
      <c r="L6" s="8">
        <v>51.311081750518404</v>
      </c>
      <c r="M6" s="8">
        <v>0.64334942397317041</v>
      </c>
    </row>
    <row r="7" spans="1:13">
      <c r="A7" s="3" t="s">
        <v>20</v>
      </c>
      <c r="B7" s="3" t="s">
        <v>13</v>
      </c>
      <c r="C7" s="3" t="s">
        <v>14</v>
      </c>
      <c r="D7" s="3">
        <v>4</v>
      </c>
      <c r="E7" s="3">
        <v>3</v>
      </c>
      <c r="F7" s="4">
        <v>5.35</v>
      </c>
      <c r="G7" s="8">
        <v>17.76154120024875</v>
      </c>
      <c r="H7" s="8">
        <v>9.2638750415421214</v>
      </c>
      <c r="I7" s="8">
        <v>69.911753133606879</v>
      </c>
      <c r="J7" s="8">
        <v>35.00840650102748</v>
      </c>
      <c r="K7" s="8">
        <v>64.99159349897252</v>
      </c>
      <c r="L7" s="8">
        <v>37.966177257181648</v>
      </c>
      <c r="M7" s="8">
        <v>0.46428058911038</v>
      </c>
    </row>
    <row r="8" spans="1:13">
      <c r="A8" s="3" t="s">
        <v>21</v>
      </c>
      <c r="B8" s="3" t="s">
        <v>13</v>
      </c>
      <c r="C8" s="3" t="s">
        <v>14</v>
      </c>
      <c r="D8" s="3">
        <v>7</v>
      </c>
      <c r="E8" s="3">
        <v>1</v>
      </c>
      <c r="F8" s="4">
        <v>6.3</v>
      </c>
      <c r="G8" s="8">
        <v>16.040978648820904</v>
      </c>
      <c r="H8" s="8">
        <v>6.4620995876946914</v>
      </c>
      <c r="I8" s="8">
        <v>73.126836434867784</v>
      </c>
      <c r="J8" s="8">
        <v>37.129840546697039</v>
      </c>
      <c r="K8" s="8">
        <v>62.870159453302961</v>
      </c>
      <c r="L8" s="8">
        <v>40.367081216787362</v>
      </c>
      <c r="M8" s="8">
        <v>1.2292532161278023</v>
      </c>
    </row>
    <row r="9" spans="1:13">
      <c r="A9" s="3" t="s">
        <v>22</v>
      </c>
      <c r="B9" s="3" t="s">
        <v>13</v>
      </c>
      <c r="C9" s="3" t="s">
        <v>14</v>
      </c>
      <c r="D9" s="3">
        <v>7</v>
      </c>
      <c r="E9" s="3">
        <v>2</v>
      </c>
      <c r="F9" s="4">
        <v>5.75</v>
      </c>
      <c r="G9" s="8">
        <v>15.877269667832168</v>
      </c>
      <c r="H9" s="8">
        <v>6.6246741963507372</v>
      </c>
      <c r="I9" s="8">
        <v>77.833448514167245</v>
      </c>
      <c r="J9" s="8">
        <v>15.796310730059751</v>
      </c>
      <c r="K9" s="8">
        <v>84.203689269940242</v>
      </c>
      <c r="L9" s="8">
        <v>61.701745405757343</v>
      </c>
      <c r="M9" s="8">
        <v>1.2542132514224329</v>
      </c>
    </row>
    <row r="10" spans="1:13">
      <c r="A10" s="3" t="s">
        <v>23</v>
      </c>
      <c r="B10" s="3" t="s">
        <v>13</v>
      </c>
      <c r="C10" s="3" t="s">
        <v>14</v>
      </c>
      <c r="D10" s="3">
        <v>7</v>
      </c>
      <c r="E10" s="3">
        <v>3</v>
      </c>
      <c r="F10" s="4">
        <v>5.65</v>
      </c>
      <c r="G10" s="8">
        <v>16.626342843760188</v>
      </c>
      <c r="H10" s="8">
        <v>6.9163292847498035</v>
      </c>
      <c r="I10" s="8">
        <v>73.735481453727985</v>
      </c>
      <c r="J10" s="8">
        <v>32.496433666191187</v>
      </c>
      <c r="K10" s="8">
        <v>67.503566333808806</v>
      </c>
      <c r="L10" s="8">
        <v>43.960894205298828</v>
      </c>
      <c r="M10" s="8">
        <v>1.2385240591736475</v>
      </c>
    </row>
    <row r="11" spans="1:13">
      <c r="A11" s="3" t="s">
        <v>24</v>
      </c>
      <c r="B11" s="3" t="s">
        <v>13</v>
      </c>
      <c r="C11" s="3">
        <v>13</v>
      </c>
      <c r="D11" s="3">
        <v>3</v>
      </c>
      <c r="E11" s="3">
        <v>1</v>
      </c>
      <c r="F11" s="4">
        <v>6.4</v>
      </c>
      <c r="G11" s="8">
        <v>17.54837810670934</v>
      </c>
      <c r="H11" s="8">
        <v>6.954038868933492</v>
      </c>
      <c r="I11" s="8">
        <v>76.373915330002632</v>
      </c>
      <c r="J11" s="8">
        <v>14.134668892598812</v>
      </c>
      <c r="K11" s="8">
        <v>85.86533110740119</v>
      </c>
      <c r="L11" s="8">
        <v>61.362914131758359</v>
      </c>
      <c r="M11" s="8">
        <v>1.8004968690089376</v>
      </c>
    </row>
    <row r="12" spans="1:13">
      <c r="A12" s="3" t="s">
        <v>25</v>
      </c>
      <c r="B12" s="3" t="s">
        <v>13</v>
      </c>
      <c r="C12" s="3">
        <v>13</v>
      </c>
      <c r="D12" s="3">
        <v>3</v>
      </c>
      <c r="E12" s="3">
        <v>2</v>
      </c>
      <c r="F12" s="4">
        <v>5.6</v>
      </c>
      <c r="G12" s="8">
        <v>15.065949988217024</v>
      </c>
      <c r="H12" s="8">
        <v>5.9648206199925573</v>
      </c>
      <c r="I12" s="8">
        <v>79.064576675290411</v>
      </c>
      <c r="J12" s="8">
        <v>21.371456263629735</v>
      </c>
      <c r="K12" s="8">
        <v>78.628543736370275</v>
      </c>
      <c r="L12" s="8">
        <v>57.597773128160682</v>
      </c>
      <c r="M12" s="8">
        <v>0.86913294300240407</v>
      </c>
    </row>
    <row r="13" spans="1:13">
      <c r="A13" s="3" t="s">
        <v>26</v>
      </c>
      <c r="B13" s="3" t="s">
        <v>13</v>
      </c>
      <c r="C13" s="3">
        <v>13</v>
      </c>
      <c r="D13" s="3">
        <v>3</v>
      </c>
      <c r="E13" s="3">
        <v>3</v>
      </c>
      <c r="F13" s="4">
        <v>5.4</v>
      </c>
      <c r="G13" s="8">
        <v>14.46740698322777</v>
      </c>
      <c r="H13" s="8">
        <v>6.4149560117306228</v>
      </c>
      <c r="I13" s="8">
        <v>78.788549914179725</v>
      </c>
      <c r="J13" s="8">
        <v>17.7760375880971</v>
      </c>
      <c r="K13" s="8">
        <v>82.223962411902903</v>
      </c>
      <c r="L13" s="8">
        <v>61.341599416944504</v>
      </c>
      <c r="M13" s="8">
        <v>0.78134346953835254</v>
      </c>
    </row>
    <row r="14" spans="1:13">
      <c r="A14" s="3" t="s">
        <v>27</v>
      </c>
      <c r="B14" s="3" t="s">
        <v>13</v>
      </c>
      <c r="C14" s="3">
        <v>13</v>
      </c>
      <c r="D14" s="3">
        <v>5</v>
      </c>
      <c r="E14" s="3">
        <v>1</v>
      </c>
      <c r="F14" s="4">
        <v>7.75</v>
      </c>
      <c r="G14" s="8">
        <v>17.387279469285247</v>
      </c>
      <c r="H14" s="8">
        <v>6.6345470342006587</v>
      </c>
      <c r="I14" s="8">
        <v>78.052618328298095</v>
      </c>
      <c r="J14" s="8">
        <v>20.303986234585594</v>
      </c>
      <c r="K14" s="8">
        <v>79.696013765414392</v>
      </c>
      <c r="L14" s="8">
        <v>55.674187261928502</v>
      </c>
      <c r="M14" s="8">
        <v>0.5492835730179968</v>
      </c>
    </row>
    <row r="15" spans="1:13">
      <c r="A15" s="3" t="s">
        <v>28</v>
      </c>
      <c r="B15" s="3" t="s">
        <v>13</v>
      </c>
      <c r="C15" s="3">
        <v>13</v>
      </c>
      <c r="D15" s="3">
        <v>5</v>
      </c>
      <c r="E15" s="3">
        <v>2</v>
      </c>
      <c r="F15" s="4">
        <v>5.35</v>
      </c>
      <c r="G15" s="8">
        <v>15.98192781211549</v>
      </c>
      <c r="H15" s="8">
        <v>7.3818897637778988</v>
      </c>
      <c r="I15" s="8">
        <v>76.814647604715319</v>
      </c>
      <c r="J15" s="8">
        <v>22.43617481609693</v>
      </c>
      <c r="K15" s="8">
        <v>77.563825183903063</v>
      </c>
      <c r="L15" s="8">
        <v>54.200007608009685</v>
      </c>
      <c r="M15" s="8">
        <v>1.0803539789633472</v>
      </c>
    </row>
    <row r="16" spans="1:13">
      <c r="A16" s="3" t="s">
        <v>29</v>
      </c>
      <c r="B16" s="3" t="s">
        <v>13</v>
      </c>
      <c r="C16" s="3">
        <v>13</v>
      </c>
      <c r="D16" s="3">
        <v>5</v>
      </c>
      <c r="E16" s="3">
        <v>3</v>
      </c>
      <c r="F16" s="4">
        <v>5.2</v>
      </c>
      <c r="G16" s="8">
        <v>15.888077876693195</v>
      </c>
      <c r="H16" s="8">
        <v>5.8017797941019351</v>
      </c>
      <c r="I16" s="8">
        <v>80.001158010537878</v>
      </c>
      <c r="J16" s="8">
        <v>13.983786913723211</v>
      </c>
      <c r="K16" s="8">
        <v>86.016213086276792</v>
      </c>
      <c r="L16" s="8">
        <v>64.326355415481657</v>
      </c>
      <c r="M16" s="8">
        <v>1.0795460058095974</v>
      </c>
    </row>
    <row r="17" spans="1:13">
      <c r="A17" s="3" t="s">
        <v>30</v>
      </c>
      <c r="B17" s="3" t="s">
        <v>13</v>
      </c>
      <c r="C17" s="3">
        <v>13</v>
      </c>
      <c r="D17" s="3">
        <v>2</v>
      </c>
      <c r="E17" s="3">
        <v>1</v>
      </c>
      <c r="F17" s="4">
        <v>6.5</v>
      </c>
      <c r="G17" s="8">
        <v>13.396727254129965</v>
      </c>
      <c r="H17" s="8">
        <v>6.1909416748125672</v>
      </c>
      <c r="I17" s="8">
        <v>76.501985289331515</v>
      </c>
      <c r="J17" s="8">
        <v>25.54016620498615</v>
      </c>
      <c r="K17" s="8">
        <v>74.45983379501385</v>
      </c>
      <c r="L17" s="8">
        <v>52.802338759509048</v>
      </c>
      <c r="M17" s="8">
        <v>1.0796850774566071</v>
      </c>
    </row>
    <row r="18" spans="1:13">
      <c r="A18" s="3" t="s">
        <v>31</v>
      </c>
      <c r="B18" s="3" t="s">
        <v>13</v>
      </c>
      <c r="C18" s="3">
        <v>13</v>
      </c>
      <c r="D18" s="3">
        <v>2</v>
      </c>
      <c r="E18" s="3">
        <v>2</v>
      </c>
      <c r="F18" s="4">
        <v>6.35</v>
      </c>
      <c r="G18" s="8">
        <v>16.345848067151785</v>
      </c>
      <c r="H18" s="8">
        <v>6.8548387096786856</v>
      </c>
      <c r="I18" s="8">
        <v>77.089128741515523</v>
      </c>
      <c r="J18" s="8">
        <v>19.815444390480803</v>
      </c>
      <c r="K18" s="8">
        <v>80.184555609519194</v>
      </c>
      <c r="L18" s="8">
        <v>54.276274367577699</v>
      </c>
      <c r="M18" s="8">
        <v>1.0249079974254311</v>
      </c>
    </row>
    <row r="19" spans="1:13">
      <c r="A19" s="3" t="s">
        <v>32</v>
      </c>
      <c r="B19" s="3" t="s">
        <v>13</v>
      </c>
      <c r="C19" s="3">
        <v>13</v>
      </c>
      <c r="D19" s="3">
        <v>2</v>
      </c>
      <c r="E19" s="3">
        <v>3</v>
      </c>
      <c r="F19" s="4">
        <v>4.05</v>
      </c>
      <c r="G19" s="8">
        <v>14.455366527899502</v>
      </c>
      <c r="H19" s="8">
        <v>5.66037735849127</v>
      </c>
      <c r="I19" s="8">
        <v>79.757308328736897</v>
      </c>
      <c r="J19" s="8">
        <v>29.873668565766661</v>
      </c>
      <c r="K19" s="8">
        <v>70.126331434233336</v>
      </c>
      <c r="L19" s="8">
        <v>50.010587547842569</v>
      </c>
      <c r="M19" s="8">
        <v>0.97502787152842496</v>
      </c>
    </row>
    <row r="20" spans="1:13">
      <c r="A20" s="3" t="s">
        <v>33</v>
      </c>
      <c r="B20" s="3" t="s">
        <v>13</v>
      </c>
      <c r="C20" s="3">
        <v>54</v>
      </c>
      <c r="D20" s="3">
        <v>9</v>
      </c>
      <c r="E20" s="3">
        <v>1</v>
      </c>
      <c r="F20" s="4">
        <v>5.65</v>
      </c>
      <c r="G20" s="8">
        <v>14.266343788513149</v>
      </c>
      <c r="H20" s="8">
        <v>7.3186959414513399</v>
      </c>
      <c r="I20" s="8">
        <v>75.421348314606746</v>
      </c>
      <c r="J20" s="8">
        <v>25.863354037267069</v>
      </c>
      <c r="K20" s="8">
        <v>74.136645962732928</v>
      </c>
      <c r="L20" s="8">
        <v>52.620194424059363</v>
      </c>
      <c r="M20" s="8">
        <v>0.84570191733558908</v>
      </c>
    </row>
    <row r="21" spans="1:13">
      <c r="A21" s="3" t="s">
        <v>34</v>
      </c>
      <c r="B21" s="3" t="s">
        <v>13</v>
      </c>
      <c r="C21" s="3">
        <v>54</v>
      </c>
      <c r="D21" s="3">
        <v>9</v>
      </c>
      <c r="E21" s="3">
        <v>2</v>
      </c>
      <c r="F21" s="4">
        <v>4.5</v>
      </c>
      <c r="G21" s="8">
        <v>17.736161439255188</v>
      </c>
      <c r="H21" s="8">
        <v>6.6109951287423332</v>
      </c>
      <c r="I21" s="8">
        <v>75.397313647082953</v>
      </c>
      <c r="J21" s="8">
        <v>27.297353615336551</v>
      </c>
      <c r="K21" s="8">
        <v>72.702646384663453</v>
      </c>
      <c r="L21" s="8">
        <v>48.355489816665923</v>
      </c>
      <c r="M21" s="8">
        <v>1.5883536039336588</v>
      </c>
    </row>
    <row r="22" spans="1:13">
      <c r="A22" s="3" t="s">
        <v>35</v>
      </c>
      <c r="B22" s="3" t="s">
        <v>13</v>
      </c>
      <c r="C22" s="3">
        <v>54</v>
      </c>
      <c r="D22" s="3">
        <v>9</v>
      </c>
      <c r="E22" s="3">
        <v>3</v>
      </c>
      <c r="F22" s="4">
        <v>6</v>
      </c>
      <c r="G22" s="8">
        <v>12.985785539534078</v>
      </c>
      <c r="H22" s="8">
        <v>7.1138211382113834</v>
      </c>
      <c r="I22" s="8">
        <v>76.604477611940311</v>
      </c>
      <c r="J22" s="8">
        <v>34.062428799270911</v>
      </c>
      <c r="K22" s="8">
        <v>65.937571200729096</v>
      </c>
      <c r="L22" s="8">
        <v>45.837964522983626</v>
      </c>
      <c r="M22" s="8">
        <v>0.98832457790214356</v>
      </c>
    </row>
    <row r="23" spans="1:13">
      <c r="A23" s="3" t="s">
        <v>36</v>
      </c>
      <c r="B23" s="3" t="s">
        <v>13</v>
      </c>
      <c r="C23" s="3">
        <v>54</v>
      </c>
      <c r="D23" s="3">
        <v>6</v>
      </c>
      <c r="E23" s="3">
        <v>1</v>
      </c>
      <c r="F23" s="4">
        <v>6.65</v>
      </c>
      <c r="G23" s="8">
        <v>15.150892594730353</v>
      </c>
      <c r="H23" s="8">
        <v>5.295566502464772</v>
      </c>
      <c r="I23" s="8">
        <v>75.44925021687942</v>
      </c>
      <c r="J23" s="8">
        <v>33.139828369510333</v>
      </c>
      <c r="K23" s="8">
        <v>66.860171630489674</v>
      </c>
      <c r="L23" s="8">
        <v>45.484771795621086</v>
      </c>
      <c r="M23" s="8">
        <v>1.182502197723597</v>
      </c>
    </row>
    <row r="24" spans="1:13">
      <c r="A24" s="3" t="s">
        <v>37</v>
      </c>
      <c r="B24" s="3" t="s">
        <v>13</v>
      </c>
      <c r="C24" s="3">
        <v>54</v>
      </c>
      <c r="D24" s="3">
        <v>6</v>
      </c>
      <c r="E24" s="3">
        <v>2</v>
      </c>
      <c r="F24" s="4">
        <v>5.55</v>
      </c>
      <c r="G24" s="8">
        <v>14.169392760177907</v>
      </c>
      <c r="H24" s="8">
        <v>4.7511312217185662</v>
      </c>
      <c r="I24" s="8">
        <v>81.222605341593137</v>
      </c>
      <c r="J24" s="8">
        <v>14.939309056956102</v>
      </c>
      <c r="K24" s="8">
        <v>85.060690943043895</v>
      </c>
      <c r="L24" s="8">
        <v>66.140166961147429</v>
      </c>
      <c r="M24" s="8">
        <v>1.1342733199749835</v>
      </c>
    </row>
    <row r="25" spans="1:13">
      <c r="A25" s="3" t="s">
        <v>38</v>
      </c>
      <c r="B25" s="3" t="s">
        <v>13</v>
      </c>
      <c r="C25" s="3">
        <v>54</v>
      </c>
      <c r="D25" s="3">
        <v>6</v>
      </c>
      <c r="E25" s="3">
        <v>3</v>
      </c>
      <c r="F25" s="4">
        <v>5.4</v>
      </c>
      <c r="G25" s="8">
        <v>15.664333674768518</v>
      </c>
      <c r="H25" s="8">
        <v>6.9649295313023298</v>
      </c>
      <c r="I25" s="8">
        <v>74.536709577026457</v>
      </c>
      <c r="J25" s="8">
        <v>22.111111111111054</v>
      </c>
      <c r="K25" s="8">
        <v>77.888888888888943</v>
      </c>
      <c r="L25" s="8">
        <v>54.725787631584517</v>
      </c>
      <c r="M25" s="8">
        <v>0.84527081124358949</v>
      </c>
    </row>
    <row r="26" spans="1:13">
      <c r="A26" s="3" t="s">
        <v>39</v>
      </c>
      <c r="B26" s="3" t="s">
        <v>13</v>
      </c>
      <c r="C26" s="3">
        <v>54</v>
      </c>
      <c r="D26" s="3">
        <v>8</v>
      </c>
      <c r="E26" s="3">
        <v>1</v>
      </c>
      <c r="F26" s="4">
        <v>5.85</v>
      </c>
      <c r="G26" s="8">
        <v>12.474350688668348</v>
      </c>
      <c r="H26" s="8">
        <v>4.6978895634583022</v>
      </c>
      <c r="I26" s="8">
        <v>69.543605964753738</v>
      </c>
      <c r="J26" s="8">
        <v>50.906693043191552</v>
      </c>
      <c r="K26" s="8">
        <v>49.093306956808441</v>
      </c>
      <c r="L26" s="8">
        <v>32.858823836871906</v>
      </c>
      <c r="M26" s="8">
        <v>0.74856761586703835</v>
      </c>
    </row>
    <row r="27" spans="1:13">
      <c r="A27" s="3" t="s">
        <v>40</v>
      </c>
      <c r="B27" s="3" t="s">
        <v>13</v>
      </c>
      <c r="C27" s="3">
        <v>54</v>
      </c>
      <c r="D27" s="3">
        <v>8</v>
      </c>
      <c r="E27" s="3">
        <v>2</v>
      </c>
      <c r="F27" s="4">
        <v>5.45</v>
      </c>
      <c r="G27" s="8">
        <v>15.414132372420635</v>
      </c>
      <c r="H27" s="8">
        <v>9.1697360343781771</v>
      </c>
      <c r="I27" s="8">
        <v>76.470253991704055</v>
      </c>
      <c r="J27" s="8">
        <v>26.805119536343895</v>
      </c>
      <c r="K27" s="8">
        <v>73.194880463656105</v>
      </c>
      <c r="L27" s="8">
        <v>50.367052453715338</v>
      </c>
      <c r="M27" s="8">
        <v>1.5496933342854646</v>
      </c>
    </row>
    <row r="28" spans="1:13">
      <c r="A28" s="3" t="s">
        <v>41</v>
      </c>
      <c r="B28" s="3" t="s">
        <v>13</v>
      </c>
      <c r="C28" s="3">
        <v>54</v>
      </c>
      <c r="D28" s="3">
        <v>8</v>
      </c>
      <c r="E28" s="3">
        <v>3</v>
      </c>
      <c r="F28" s="4">
        <v>5.45</v>
      </c>
      <c r="G28" s="8">
        <v>15.739025461742907</v>
      </c>
      <c r="H28" s="8">
        <v>7.190265486724992</v>
      </c>
      <c r="I28" s="8">
        <v>77.658712291760452</v>
      </c>
      <c r="J28" s="8">
        <v>16.041918581217256</v>
      </c>
      <c r="K28" s="8">
        <v>83.958081418782754</v>
      </c>
      <c r="L28" s="8">
        <v>60.027216122749394</v>
      </c>
      <c r="M28" s="8">
        <v>0.75850935955931498</v>
      </c>
    </row>
    <row r="30" spans="1:13">
      <c r="A30" s="11" t="s">
        <v>116</v>
      </c>
      <c r="F30" s="15">
        <f>AVERAGE(F2:F28)</f>
        <v>5.8814814814814804</v>
      </c>
      <c r="G30" s="15">
        <f t="shared" ref="G30:L30" si="0">AVERAGE(G2:G28)</f>
        <v>15.359488990814715</v>
      </c>
      <c r="H30" s="15">
        <f t="shared" si="0"/>
        <v>6.4364303530659752</v>
      </c>
      <c r="I30" s="15">
        <f t="shared" si="0"/>
        <v>76.505512369179456</v>
      </c>
      <c r="J30" s="15">
        <f t="shared" si="0"/>
        <v>25.269735428456585</v>
      </c>
      <c r="K30" s="15">
        <f t="shared" si="0"/>
        <v>74.730264571543415</v>
      </c>
      <c r="L30" s="15">
        <f t="shared" si="0"/>
        <v>53.280192057118953</v>
      </c>
      <c r="M30" s="14">
        <f>AVERAGE(M2:M28)</f>
        <v>1.0280733192857274</v>
      </c>
    </row>
    <row r="31" spans="1:13">
      <c r="A31" s="11" t="s">
        <v>117</v>
      </c>
      <c r="F31" s="15">
        <f>STDEV(F2:F28)</f>
        <v>0.8322985027745794</v>
      </c>
      <c r="G31" s="15">
        <f t="shared" ref="G31:L31" si="1">STDEV(G2:G28)</f>
        <v>1.6493089666816474</v>
      </c>
      <c r="H31" s="15">
        <f t="shared" si="1"/>
        <v>1.2715945878407211</v>
      </c>
      <c r="I31" s="15">
        <f t="shared" si="1"/>
        <v>2.7133959317431291</v>
      </c>
      <c r="J31" s="15">
        <f t="shared" si="1"/>
        <v>8.5876577605229159</v>
      </c>
      <c r="K31" s="15">
        <f t="shared" si="1"/>
        <v>8.5876577605229567</v>
      </c>
      <c r="L31" s="15">
        <f t="shared" si="1"/>
        <v>8.933622211394292</v>
      </c>
      <c r="M31" s="14">
        <f t="shared" ref="M31" si="2">STDEV(M2:M28)</f>
        <v>0.32189802860620159</v>
      </c>
    </row>
    <row r="32" spans="1:13">
      <c r="A32" s="11" t="s">
        <v>118</v>
      </c>
      <c r="F32" s="15">
        <f>F31/SQRT(27)</f>
        <v>0.16017592154100863</v>
      </c>
      <c r="G32" s="15">
        <f>G31/SQRT(26)</f>
        <v>0.32345610019435667</v>
      </c>
      <c r="H32" s="15">
        <f t="shared" ref="G32:M32" si="3">H31/SQRT(27)</f>
        <v>0.24471849252997052</v>
      </c>
      <c r="I32" s="15">
        <f t="shared" si="3"/>
        <v>0.52219329053664365</v>
      </c>
      <c r="J32" s="15">
        <f t="shared" si="3"/>
        <v>1.6526955065820947</v>
      </c>
      <c r="K32" s="15">
        <f t="shared" si="3"/>
        <v>1.6526955065821025</v>
      </c>
      <c r="L32" s="15">
        <f t="shared" si="3"/>
        <v>1.7192763961956381</v>
      </c>
      <c r="M32" s="14">
        <f t="shared" si="3"/>
        <v>6.1949304489133446E-2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1890-A105-4AA6-B2F8-8093783600F2}">
  <dimension ref="A1:B30"/>
  <sheetViews>
    <sheetView workbookViewId="0">
      <selection activeCell="B28" sqref="B28"/>
    </sheetView>
  </sheetViews>
  <sheetFormatPr defaultRowHeight="15"/>
  <cols>
    <col min="1" max="1" width="22.42578125" customWidth="1"/>
  </cols>
  <sheetData>
    <row r="1" spans="1:2">
      <c r="A1" s="2" t="s">
        <v>119</v>
      </c>
    </row>
    <row r="3" spans="1:2">
      <c r="A3" t="s">
        <v>120</v>
      </c>
    </row>
    <row r="5" spans="1:2">
      <c r="A5" t="s">
        <v>0</v>
      </c>
      <c r="B5" t="s">
        <v>121</v>
      </c>
    </row>
    <row r="7" spans="1:2">
      <c r="A7" t="s">
        <v>1</v>
      </c>
      <c r="B7" t="s">
        <v>122</v>
      </c>
    </row>
    <row r="8" spans="1:2">
      <c r="B8" t="s">
        <v>123</v>
      </c>
    </row>
    <row r="10" spans="1:2">
      <c r="A10" t="s">
        <v>2</v>
      </c>
      <c r="B10" t="s">
        <v>124</v>
      </c>
    </row>
    <row r="11" spans="1:2">
      <c r="A11" t="s">
        <v>3</v>
      </c>
      <c r="B11" t="s">
        <v>125</v>
      </c>
    </row>
    <row r="12" spans="1:2">
      <c r="A12" t="s">
        <v>4</v>
      </c>
      <c r="B12" t="s">
        <v>126</v>
      </c>
    </row>
    <row r="14" spans="1:2">
      <c r="A14" t="s">
        <v>5</v>
      </c>
      <c r="B14" t="s">
        <v>127</v>
      </c>
    </row>
    <row r="16" spans="1:2">
      <c r="A16" t="s">
        <v>128</v>
      </c>
    </row>
    <row r="17" spans="1:2">
      <c r="A17" t="s">
        <v>129</v>
      </c>
    </row>
    <row r="18" spans="1:2">
      <c r="A18" t="s">
        <v>8</v>
      </c>
    </row>
    <row r="19" spans="1:2">
      <c r="A19" t="s">
        <v>9</v>
      </c>
    </row>
    <row r="20" spans="1:2">
      <c r="A20" t="s">
        <v>10</v>
      </c>
    </row>
    <row r="21" spans="1:2">
      <c r="A21" t="s">
        <v>11</v>
      </c>
    </row>
    <row r="23" spans="1:2">
      <c r="A23" t="s">
        <v>16</v>
      </c>
      <c r="B23" t="s">
        <v>130</v>
      </c>
    </row>
    <row r="25" spans="1:2">
      <c r="A25" t="s">
        <v>131</v>
      </c>
      <c r="B25" t="s">
        <v>132</v>
      </c>
    </row>
    <row r="26" spans="1:2">
      <c r="B26" t="s">
        <v>133</v>
      </c>
    </row>
    <row r="28" spans="1:2">
      <c r="A28" t="s">
        <v>134</v>
      </c>
      <c r="B28" t="s">
        <v>135</v>
      </c>
    </row>
    <row r="29" spans="1:2">
      <c r="B29" t="s">
        <v>136</v>
      </c>
    </row>
    <row r="30" spans="1:2">
      <c r="B30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  <SharedWithUsers xmlns="1eaf255a-6d0a-4e64-b9e2-96ad16efe479">
      <UserInfo>
        <DisplayName>Javier Atalah</DisplayName>
        <AccountId>19</AccountId>
        <AccountType/>
      </UserInfo>
      <UserInfo>
        <DisplayName>Grant Hopkins</DisplayName>
        <AccountId>40</AccountId>
        <AccountType/>
      </UserInfo>
      <UserInfo>
        <DisplayName>Lauren Fletcher</DisplayName>
        <AccountId>46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2CD560-0618-4CEF-8E76-3BC2603C86D2}"/>
</file>

<file path=customXml/itemProps2.xml><?xml version="1.0" encoding="utf-8"?>
<ds:datastoreItem xmlns:ds="http://schemas.openxmlformats.org/officeDocument/2006/customXml" ds:itemID="{1DB65EA7-9461-4814-8121-DB1E1B12E621}"/>
</file>

<file path=customXml/itemProps3.xml><?xml version="1.0" encoding="utf-8"?>
<ds:datastoreItem xmlns:ds="http://schemas.openxmlformats.org/officeDocument/2006/customXml" ds:itemID="{7FA46537-CDE2-42CA-8C4F-3E7F0CFC4D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Fletcher</dc:creator>
  <cp:keywords/>
  <dc:description/>
  <cp:lastModifiedBy>Javier Atalah</cp:lastModifiedBy>
  <cp:revision/>
  <dcterms:created xsi:type="dcterms:W3CDTF">2024-03-20T22:25:32Z</dcterms:created>
  <dcterms:modified xsi:type="dcterms:W3CDTF">2025-02-28T02:49:21Z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